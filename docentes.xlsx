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s ativos" sheetId="1" r:id="rId5"/>
    <sheet state="visible" name="Quantitativos" sheetId="2" r:id="rId6"/>
  </sheets>
  <definedNames/>
  <calcPr/>
</workbook>
</file>

<file path=xl/sharedStrings.xml><?xml version="1.0" encoding="utf-8"?>
<sst xmlns="http://schemas.openxmlformats.org/spreadsheetml/2006/main" count="1046" uniqueCount="551">
  <si>
    <t>DOCENTE</t>
  </si>
  <si>
    <t>REGIME DE TRABALHO</t>
  </si>
  <si>
    <t>LOTAÇÃO</t>
  </si>
  <si>
    <t>FORMAÇÃO ACADÊMICA</t>
  </si>
  <si>
    <t>LATTES</t>
  </si>
  <si>
    <t>TITULAÇÃO</t>
  </si>
  <si>
    <t>CONTATO</t>
  </si>
  <si>
    <t>OBSERVAÇÃO</t>
  </si>
  <si>
    <t>ADRIANA RODRIGUES MENDONÇA</t>
  </si>
  <si>
    <t>RDE</t>
  </si>
  <si>
    <t>LET - 1112</t>
  </si>
  <si>
    <t>Mestrado em Letras</t>
  </si>
  <si>
    <t>Lattes</t>
  </si>
  <si>
    <t>Mestre</t>
  </si>
  <si>
    <t>adriana.mendonca@ifsp.edu.br</t>
  </si>
  <si>
    <t>Especialização em Gestão Escolar e Coordenação Pedagógica</t>
  </si>
  <si>
    <t>Graduação em Letras</t>
  </si>
  <si>
    <t>ALBERTO LUIZ FERREIRA</t>
  </si>
  <si>
    <t>40h</t>
  </si>
  <si>
    <t>CSS - 536</t>
  </si>
  <si>
    <t>Mestrado em Ensino de Ciências </t>
  </si>
  <si>
    <t>alberto@ifsp.edu.br </t>
  </si>
  <si>
    <t>Especialização em Pós Graduação Lato Sensu Engenharia da Computação</t>
  </si>
  <si>
    <t>Graduação em Tecnólogo Em Processamento de Dados.</t>
  </si>
  <si>
    <t>ALEXANDRE ARAUJO BEZERRA</t>
  </si>
  <si>
    <t>20h</t>
  </si>
  <si>
    <t>CSA - 535</t>
  </si>
  <si>
    <t>Doutorado em Engenharia Mecânica </t>
  </si>
  <si>
    <t>Doutor</t>
  </si>
  <si>
    <t>aab@ifsp.edu.br </t>
  </si>
  <si>
    <t>Mestrado em Engenharia Mecânica </t>
  </si>
  <si>
    <t>Especialização em Higiene Ocupacional</t>
  </si>
  <si>
    <t>Especialização em Engenharia de Segurança do Trabalho</t>
  </si>
  <si>
    <t>Graduação em Engenharia Mecânica</t>
  </si>
  <si>
    <t>ALEXANDRE MANICOBA DE OLIVEIRA</t>
  </si>
  <si>
    <t>ECA - 1046</t>
  </si>
  <si>
    <t>Doutorado em Engenharia Elétrica</t>
  </si>
  <si>
    <t>amanicoba@ifsp.edu.br</t>
  </si>
  <si>
    <t>Mestrado em Engenharia Elétrica</t>
  </si>
  <si>
    <t>Graduação em Engenharia Elétrica Modalidade Computação</t>
  </si>
  <si>
    <t>ALINE MARIA DOS SANTOS TEIXEIRA</t>
  </si>
  <si>
    <t>DRG</t>
  </si>
  <si>
    <t>Doutorado em Química</t>
  </si>
  <si>
    <t>Doutora</t>
  </si>
  <si>
    <t>aline.teixeira@ifsp.edu.br</t>
  </si>
  <si>
    <t>Mestrado em Química</t>
  </si>
  <si>
    <t>Graduação em Matemática</t>
  </si>
  <si>
    <t>Graduação em Química com Atribuições Tecnológica</t>
  </si>
  <si>
    <t>AMAURI DIAS DE CARVALHO</t>
  </si>
  <si>
    <t>Doutorado em Engenharia Elétrica </t>
  </si>
  <si>
    <t>amauridias@ifsp.edu.br </t>
  </si>
  <si>
    <t>Especialização em Automação Industrial</t>
  </si>
  <si>
    <t>Graduação em Engenharia Elétrica</t>
  </si>
  <si>
    <t>ANA ELISA SOBRAL CAETANO DA SILVA FERREIRA</t>
  </si>
  <si>
    <t>Doutorado em Linguística</t>
  </si>
  <si>
    <t>anaelisaferreira@ifsp.edu.br </t>
  </si>
  <si>
    <t>Mestrado em Programa de Pós Graduação em Educação</t>
  </si>
  <si>
    <t>Especialização em Psicopedagogia</t>
  </si>
  <si>
    <t>ANDERSON ALVES DE OLIVEIRA</t>
  </si>
  <si>
    <t>Mestrado profissional em Controle e Automação de Processos</t>
  </si>
  <si>
    <t>anderson.alves@ifsp.edu.br</t>
  </si>
  <si>
    <t>Aperfeiçoamento em Engenharia de Automação e Controle Industrial</t>
  </si>
  <si>
    <t>Graduação em Licenciatura em Matemática</t>
  </si>
  <si>
    <t>Graduação em Tecnologia em Mecatrônica Industrial</t>
  </si>
  <si>
    <t>ANTONIO CESAR LINS RODRIGUES</t>
  </si>
  <si>
    <t>LMA - 917</t>
  </si>
  <si>
    <t>Pós-Doutorado em Educação</t>
  </si>
  <si>
    <t>cesar.rodrigues@ifsp.edu.br</t>
  </si>
  <si>
    <t>Doutorado em Educação</t>
  </si>
  <si>
    <t>Mestrado em Educação</t>
  </si>
  <si>
    <t>Especialização em Mídias na Educação</t>
  </si>
  <si>
    <t>Especialização em Escolarização e Diversidade</t>
  </si>
  <si>
    <t>Graduação em Licenciatura Plena em Pedagogia</t>
  </si>
  <si>
    <t>Graduação em Licenciatura Plena em Educação Física</t>
  </si>
  <si>
    <t>ANTONIO MENDES DE OLIVEIRA NETO</t>
  </si>
  <si>
    <t>anmendes@ifsp.edu.br</t>
  </si>
  <si>
    <t>Mestrado em Ciência dos Materiais</t>
  </si>
  <si>
    <t>Graduação em Tecnólogo em Processamento de Dados</t>
  </si>
  <si>
    <t>ARISTIDES FARIA LOPES DOS SANTOS</t>
  </si>
  <si>
    <t>CBAT - 534</t>
  </si>
  <si>
    <t>Doutorado em Hospitalidade</t>
  </si>
  <si>
    <t>aristidesfaria@ifsp.edu.br</t>
  </si>
  <si>
    <t>Mestrado em Hospitalidade </t>
  </si>
  <si>
    <t>Especialização em MBA em Gestão do Ensino Superior</t>
  </si>
  <si>
    <t>Especialização em Gestão de Recursos Humanos</t>
  </si>
  <si>
    <t>Especialização em MBA em Gestão de Projetos</t>
  </si>
  <si>
    <t>Graduação em Turismo</t>
  </si>
  <si>
    <t>ARNALDO DE CARVALHO JUNIOR</t>
  </si>
  <si>
    <t>adecarvalhojr@ifsp.edu.br </t>
  </si>
  <si>
    <t>Mestrado profissional em Mestrado Profissional em Engenharia Mecânica</t>
  </si>
  <si>
    <t>Especialização em MBA em Gestão Empresarial</t>
  </si>
  <si>
    <t>Especialização em Business &amp; Management for Int. Professionals</t>
  </si>
  <si>
    <t>Especialização em Capacitação EAD Docência Nível Superior</t>
  </si>
  <si>
    <t>Especialização em Capacitação Docência On Line</t>
  </si>
  <si>
    <t>Graduação em Engenharia Eletrônica</t>
  </si>
  <si>
    <t>ARTARXERXES TIAGO TÁCITO MODESTO</t>
  </si>
  <si>
    <t>Doutorado em Letras</t>
  </si>
  <si>
    <t>amodesto@ifsp.edu.br</t>
  </si>
  <si>
    <t xml:space="preserve">Mestrado em Filologia e Língua Portuguesa </t>
  </si>
  <si>
    <t>Graduação em Pedagogia - Lic.Plena - Adm Escolar</t>
  </si>
  <si>
    <t>Graduação em Licenciatura Plena - Português e Inglês</t>
  </si>
  <si>
    <t>AUGUSTO MONTEIRO OZORIO</t>
  </si>
  <si>
    <t>CTII</t>
  </si>
  <si>
    <t>monteiro.augusto@ifsp.edu.br</t>
  </si>
  <si>
    <t>Mestrado em Metodologia do Ensino</t>
  </si>
  <si>
    <t>Graduação em Geografia - Licenciatura e Bacharelado</t>
  </si>
  <si>
    <t>CARLOS BARREIRA DA SILVA FARINHAS</t>
  </si>
  <si>
    <t>Graduação</t>
  </si>
  <si>
    <t>-</t>
  </si>
  <si>
    <t>Graduado</t>
  </si>
  <si>
    <t>barreira@ifsp.edu.br</t>
  </si>
  <si>
    <t>CARLOS JAIR COLETTO</t>
  </si>
  <si>
    <t>Mestrado profissional em Pós Graduação Strictu Sensu em Engenharia Mecânica</t>
  </si>
  <si>
    <t>coletto@ifsp.edu.br </t>
  </si>
  <si>
    <t>Especialização em Engenharia da Computação</t>
  </si>
  <si>
    <t>Especialização em Computação e Sistemas Digitais</t>
  </si>
  <si>
    <t>Graduação em Formação Pedagógica de Docentes da Educação Profissional em nível Médio</t>
  </si>
  <si>
    <t>Graduação em Ciências da Computação</t>
  </si>
  <si>
    <t>Graduação em Tecnologia em Processamento de Dados</t>
  </si>
  <si>
    <t>CAROLINE ALVES SOLER</t>
  </si>
  <si>
    <t>Doutorado em Linguística e Língua Portuguesa</t>
  </si>
  <si>
    <t>csoler@ifsp.edu.br</t>
  </si>
  <si>
    <t>Especialização em Metodologia do Ensino da Língua Portuguesa</t>
  </si>
  <si>
    <t>Especialização em Gestão Educacional</t>
  </si>
  <si>
    <t>Graduação em Pedagogia</t>
  </si>
  <si>
    <t>Graduação em Letras - Licenciatura Português/Espanhol</t>
  </si>
  <si>
    <t>CHARLES ARTUR SANTOS DE OLIVEIRA</t>
  </si>
  <si>
    <t>Pós-Doutorado - Grande área: Ciências Exatas e da Terra</t>
  </si>
  <si>
    <t>charles@ifsp.edu.br</t>
  </si>
  <si>
    <t>Doutorado em Engenharia Eletrônica e Computação</t>
  </si>
  <si>
    <t xml:space="preserve">Mestrado em Engenharia Eletrônica e Computação </t>
  </si>
  <si>
    <t>CLAUDIA CRISTINA SOARES DE CARVALHO</t>
  </si>
  <si>
    <t>DEN</t>
  </si>
  <si>
    <t>Doutorado em Educação Matemática</t>
  </si>
  <si>
    <t>claudia.carvalho@ifsp.edu.br</t>
  </si>
  <si>
    <t xml:space="preserve">Mestrado em Educação Matemática </t>
  </si>
  <si>
    <t>CRISTIANE FERRAZ E SILVA SUAREZ</t>
  </si>
  <si>
    <t>40h - Substituto</t>
  </si>
  <si>
    <t>Doutorado em Ambiente e Sociedade</t>
  </si>
  <si>
    <t>cristiane.ferraz@ifsp.edu.br</t>
  </si>
  <si>
    <t>Mestrado em Administração e Desenvolvimento Organizacional</t>
  </si>
  <si>
    <t>Mestrado em Turismo</t>
  </si>
  <si>
    <t>Especialização em MBA em Planejamento e Gestão Educacional</t>
  </si>
  <si>
    <t>DAIANE EVANGELISTA DA SILVA</t>
  </si>
  <si>
    <t>Mestrado profissional em Práticas em Desenvolvimento Sustentável</t>
  </si>
  <si>
    <t>daiane@ifsp.edu.br</t>
  </si>
  <si>
    <t>Especialização em Especialização em Análise Ambiental e Gestão do Território</t>
  </si>
  <si>
    <t>Especialização em Programa Especial de Formação Pedagógica de Docentes</t>
  </si>
  <si>
    <t>Graduação em Gestão Ambiental</t>
  </si>
  <si>
    <t>Graduação em Gestão de Turismo</t>
  </si>
  <si>
    <t>DOUGLAS RODRIGUES SILVA</t>
  </si>
  <si>
    <t>Mestrado em Física</t>
  </si>
  <si>
    <t>douglas.silva@ifsp.edu.br</t>
  </si>
  <si>
    <t>Graduação em Física</t>
  </si>
  <si>
    <t>EDMILSON ROBERTO BRAGA</t>
  </si>
  <si>
    <t>edmilson.braga@ifsp.edu.br </t>
  </si>
  <si>
    <t>Especialização em Engenharia Ambiental e Sanitarista</t>
  </si>
  <si>
    <t>Especialização em O processo Ensino-Aprendizagem</t>
  </si>
  <si>
    <t>Graduação em Licenciatura Plena</t>
  </si>
  <si>
    <t>Graduação em Engenharia Industrial Elétrica</t>
  </si>
  <si>
    <t>EDUARDO HENRIQUE GOMES</t>
  </si>
  <si>
    <t>Mestrado em Engenharia da Informação</t>
  </si>
  <si>
    <t>ehgomes@ifsp.edu.br </t>
  </si>
  <si>
    <t>AFASTAMENTO</t>
  </si>
  <si>
    <t>Especialização em Engenharia de Computação</t>
  </si>
  <si>
    <t>Graduação em Ciência da Computação</t>
  </si>
  <si>
    <t>ELAINE CRISTINA DE ARAUJO</t>
  </si>
  <si>
    <t>Especialização em Ensino de Espanhol para brasileiros</t>
  </si>
  <si>
    <t>Especialista</t>
  </si>
  <si>
    <t>elaine.araujo@ifsp.edu.br</t>
  </si>
  <si>
    <t>Graduação em Licenciatura em Letras Português e Espanhol</t>
  </si>
  <si>
    <t>ELCIO RODRIGUES ARANHA</t>
  </si>
  <si>
    <t xml:space="preserve">Mestrado em Engenharia Elétrica </t>
  </si>
  <si>
    <t>aranha@ifsp.edu.br </t>
  </si>
  <si>
    <t>Especialização em Análise de Sistemas</t>
  </si>
  <si>
    <t>Graduação em Licenciatura Eletricidade, Eletrônica e Mecânica</t>
  </si>
  <si>
    <t>Graduação em Engenharia</t>
  </si>
  <si>
    <t>ELIAN JOÃO AGNOLETTO</t>
  </si>
  <si>
    <t>agnoletto.elian@ifsp.edu.br</t>
  </si>
  <si>
    <t>ELIFAS LEVI DA SILVA</t>
  </si>
  <si>
    <t>CTI - 533</t>
  </si>
  <si>
    <t>elifas_levi@ifsp.edu.br </t>
  </si>
  <si>
    <t xml:space="preserve">Mestrado em Ensino de Ciências (Modalidades Física, Química e Biologia) </t>
  </si>
  <si>
    <t>Graduação em Licenciatura Em Física</t>
  </si>
  <si>
    <t>Graduação em Tecnologia Eletrônica</t>
  </si>
  <si>
    <t>ENZO BERTAZINI</t>
  </si>
  <si>
    <t>enzo@ifsp.edu.br</t>
  </si>
  <si>
    <t>Graduação em Engenharia Elétrica Ênfase Em Eletrônica</t>
  </si>
  <si>
    <t>FABIANA DE LACERDA VILACO</t>
  </si>
  <si>
    <t>fabiana.vilaco@ifsp.edu.br</t>
  </si>
  <si>
    <t>Graduação em Letras Português - Inglês</t>
  </si>
  <si>
    <t>FERDINANDO CALLE</t>
  </si>
  <si>
    <t>Especialização em Modelos Organizacionais</t>
  </si>
  <si>
    <t>ferdinando.calle@ifsp.edu.br</t>
  </si>
  <si>
    <t>FERNANDA APARECIDA DOS SANTOS</t>
  </si>
  <si>
    <t>LMAT - 917</t>
  </si>
  <si>
    <t>Especialização em Tópicos Especiais em Matemática</t>
  </si>
  <si>
    <t>santos.fernanda@ifsp.edu.br</t>
  </si>
  <si>
    <t>FERNANDO DIAS DE OLIVEIRA</t>
  </si>
  <si>
    <t xml:space="preserve">Doutorado em Educação </t>
  </si>
  <si>
    <t>fernando.dias@ifsp.edu.br</t>
  </si>
  <si>
    <t>Graduação em Licenciatura em Educação Física</t>
  </si>
  <si>
    <t>FERNANDO RIBEIRO DOS SANTOS</t>
  </si>
  <si>
    <t xml:space="preserve">Doutorado em Administração de Empresas </t>
  </si>
  <si>
    <t>fernando_rsantos@ifsp.edu.br </t>
  </si>
  <si>
    <t xml:space="preserve">Mestrado em Gestão de Negócios </t>
  </si>
  <si>
    <t>Especialização em Educação à Distância</t>
  </si>
  <si>
    <t>Especialização em MBA em Marketing</t>
  </si>
  <si>
    <t>Graduação em Administração</t>
  </si>
  <si>
    <t>FILIPE BENTO MAGALHÃES</t>
  </si>
  <si>
    <t>filipe.magalhaesx@ifsp.edu.br</t>
  </si>
  <si>
    <t>Graduação em Automação Industrial</t>
  </si>
  <si>
    <t>FLAVIA DAYLANE TAVARES DE LUNA</t>
  </si>
  <si>
    <t xml:space="preserve">Doutorado em Engenharia Química </t>
  </si>
  <si>
    <t>flavia.daylane@ifsp.edu.br</t>
  </si>
  <si>
    <t xml:space="preserve">Mestrado em Engenharia Química </t>
  </si>
  <si>
    <t>Especialização em Gestão Ambiental</t>
  </si>
  <si>
    <t>Graduação em Engenharia Química</t>
  </si>
  <si>
    <t>GABRIEL SILVA XAVIER NASCIMENTO</t>
  </si>
  <si>
    <t>LET</t>
  </si>
  <si>
    <t>Doutorado em Educação Especial</t>
  </si>
  <si>
    <t>gabriel.nascimento@ifsp.edu.br</t>
  </si>
  <si>
    <t>Especialização em educação Profissional e Tecnológica Inclusiva</t>
  </si>
  <si>
    <t>Graduação em Tradução e Interpretação de Libras e Português (Bacharelado)</t>
  </si>
  <si>
    <t>Graduação em Letras Português - Inglês (Licenciatura)</t>
  </si>
  <si>
    <t>GIOVANE MARÇAL DE OLIVEIRA</t>
  </si>
  <si>
    <t>Especialização em Educação Digital</t>
  </si>
  <si>
    <t>giovane.oliveira@ifsp.edu.br</t>
  </si>
  <si>
    <t>Especialização em Docência do Ensino Técnico e Profissional</t>
  </si>
  <si>
    <t>Especialização em Práticas Pedagógicas</t>
  </si>
  <si>
    <t>Especialização em Gestão Educacional - Supervisão, Inspeção e Orientação</t>
  </si>
  <si>
    <t>Especialização em Educação, Política e Sociedade</t>
  </si>
  <si>
    <t>Especialização em Gestão de Pessoas</t>
  </si>
  <si>
    <t>Especialização em Metodologia do Ensino de Arte</t>
  </si>
  <si>
    <t>Graduação em Espanhol</t>
  </si>
  <si>
    <t>Graduação em Pedagogia </t>
  </si>
  <si>
    <t>Graduação em Artes Visuais</t>
  </si>
  <si>
    <t>GISELE DE GOUVEA</t>
  </si>
  <si>
    <t>Doutorado em Educação e Saúde na Infância e na Adolescência</t>
  </si>
  <si>
    <t>gisele.gouvea@ifsp.edu.br</t>
  </si>
  <si>
    <t>Mestrado em Ensino de Ciências e Matemática</t>
  </si>
  <si>
    <t>GLAUBER RENATO COLNAGO</t>
  </si>
  <si>
    <t xml:space="preserve">Doutorado em Planejamento de Sistemas Energéticos </t>
  </si>
  <si>
    <t>glauber.colnago@ifsp.edu.br </t>
  </si>
  <si>
    <t xml:space="preserve">Mestrado em Planejamento de Sistemas Energéticos </t>
  </si>
  <si>
    <t>HUMBERTO HICKEL DE CARVALHO</t>
  </si>
  <si>
    <t xml:space="preserve">Mestrado em Educação </t>
  </si>
  <si>
    <t>humberto@ifsp.edu.br </t>
  </si>
  <si>
    <t>Especialização em Fundamentos da Educação</t>
  </si>
  <si>
    <t>Especialização em Análise de Circuitos - Engenharia Elétrica</t>
  </si>
  <si>
    <t>Graduação em Progr. Esp. de Formação Pedag. para Docentes</t>
  </si>
  <si>
    <t>ISABELA ASSUNÇÃO DE OLIVEIRA ANDRADE</t>
  </si>
  <si>
    <t>CTE - 954</t>
  </si>
  <si>
    <t>Mestrado em Ciência Política</t>
  </si>
  <si>
    <t>isabela.andrade@ifsp.edu.br</t>
  </si>
  <si>
    <t>Especialização em Docência no Ensino Superior</t>
  </si>
  <si>
    <t>Graduação em Licenciatura em Sociologia</t>
  </si>
  <si>
    <t>Graduação em Relações Internacionais</t>
  </si>
  <si>
    <t>IVALDO MARQUES BATISTA</t>
  </si>
  <si>
    <t>Mestrado em Direito da Saúde: Dimensões Individuais e Coletivas</t>
  </si>
  <si>
    <t>ivaldo.marques@ifsp.edu.br </t>
  </si>
  <si>
    <t>Graduação em Direito</t>
  </si>
  <si>
    <t>Graduação em Bacharel em Ciência da Computação</t>
  </si>
  <si>
    <t>JAIRO BARBOSA JUNIOR</t>
  </si>
  <si>
    <t>jairobarbosa@ifsp.edu.br</t>
  </si>
  <si>
    <t>Mestrado em Educação </t>
  </si>
  <si>
    <t>Especialização em Filosofia</t>
  </si>
  <si>
    <t>Especialização em Engenharia de Segurança</t>
  </si>
  <si>
    <t>Graduação em Engenharia de Produção Mecânica</t>
  </si>
  <si>
    <t>JAMIELLI TOMAZ PEREIRA</t>
  </si>
  <si>
    <t>Doutorado em Matemática Aplicada</t>
  </si>
  <si>
    <t>jamielli.pereira@ifsp.edu.br</t>
  </si>
  <si>
    <t>Mestrado em Matemática Aplicada </t>
  </si>
  <si>
    <t>JULIO CESAR ZANDONADI</t>
  </si>
  <si>
    <t xml:space="preserve">Doutorado em Geografia </t>
  </si>
  <si>
    <t>juliocesarzandonadi@ifsp.edu.br </t>
  </si>
  <si>
    <t xml:space="preserve">Mestrado em Geografia </t>
  </si>
  <si>
    <t>Graduação em Geografia</t>
  </si>
  <si>
    <t>KARINA STEFÂNIA SOUZA LOPES</t>
  </si>
  <si>
    <t>Mestrado em Engenharia Mecânica</t>
  </si>
  <si>
    <t>karina.souza@ifsp.edu.br</t>
  </si>
  <si>
    <t>KATYA LAÍS FERREIRA PATELLA COUTO</t>
  </si>
  <si>
    <t>Doutorado em Língua Portuguesa </t>
  </si>
  <si>
    <t>katya@ifsp.edu.br </t>
  </si>
  <si>
    <t>Mestrado em Língua Portuguesa </t>
  </si>
  <si>
    <t>Graduação em Licenciatura em Letras</t>
  </si>
  <si>
    <t>KHALIL SALEM SUGUI</t>
  </si>
  <si>
    <t>khalil.salem@ifsp.edu.br</t>
  </si>
  <si>
    <t>Especialização em Ensino de Português, Literatura e Redação</t>
  </si>
  <si>
    <t>Graduação em Filosofia</t>
  </si>
  <si>
    <t>LEANDRO ALBINO MOSCA RODRIGUES</t>
  </si>
  <si>
    <t>Doutorado em Matemática</t>
  </si>
  <si>
    <t>leandro.albino@ifsp.edu.br</t>
  </si>
  <si>
    <t>Mestrado em Matemática Aplicada</t>
  </si>
  <si>
    <t>LEANDRO FABRICIO CAMPELO</t>
  </si>
  <si>
    <t>DAPI</t>
  </si>
  <si>
    <t>campelo@ifsp.edu.br</t>
  </si>
  <si>
    <t>Especialização em Leitura e Escrita na Contemporaneidade</t>
  </si>
  <si>
    <t>Especialização em Geografia e Gestão do Territorio</t>
  </si>
  <si>
    <t>LEONARDO MATHEUS MARION JORGE</t>
  </si>
  <si>
    <t>Doutorado em Física</t>
  </si>
  <si>
    <t>leonardo.jorge@ifsp.edu.br</t>
  </si>
  <si>
    <t>Graduação em Programa Especial de Formação Pedagógica de Docentes - Física</t>
  </si>
  <si>
    <t>Graduação em Curso de Ciências Moleculares</t>
  </si>
  <si>
    <t>LETICIA VIEIRA OLIVEIRA GIORDANO</t>
  </si>
  <si>
    <t>DAC</t>
  </si>
  <si>
    <t>Doutorado em PECIM</t>
  </si>
  <si>
    <t>leticia.giordano@ifsp.edu.br</t>
  </si>
  <si>
    <t>LUANA MARA ALMEIDA TEIXEIRA</t>
  </si>
  <si>
    <t>Mestrado em Estudos da Tradução</t>
  </si>
  <si>
    <t>luana.mara@ifsp.edu.br</t>
  </si>
  <si>
    <t>Especialização em Gestão Empresarial</t>
  </si>
  <si>
    <t>Graduação em Letras - Português/Inglês</t>
  </si>
  <si>
    <t>LUCAS KENJY BAZAGLIA KURODA</t>
  </si>
  <si>
    <t>Doutorado em Biometria</t>
  </si>
  <si>
    <t>kuroda.lucas@ifsp.edu.br</t>
  </si>
  <si>
    <t>Mestrado em Biometria</t>
  </si>
  <si>
    <t>LUCIANO ANDRÉ CARVALHO REIS</t>
  </si>
  <si>
    <t>Doutorado em Ensino de Ciências e Matemática</t>
  </si>
  <si>
    <t>luciano.carvalho@ifsp.edu.br</t>
  </si>
  <si>
    <t>Especialização em Matemática</t>
  </si>
  <si>
    <t>LUIZ HENRIQUE KIEHN</t>
  </si>
  <si>
    <t>Mestrado em Ciências da Computação </t>
  </si>
  <si>
    <t>luiz.kiehn@ifsp.edu.br</t>
  </si>
  <si>
    <t>Especialização em Desenvolvimento de Sistemas para Dispositivos Móveis</t>
  </si>
  <si>
    <t>Graduação em Bacharelado em Ciências de Computação</t>
  </si>
  <si>
    <t>MARCELO EDUARDO PEREIRA</t>
  </si>
  <si>
    <t>Mestrado em Educação Matemática</t>
  </si>
  <si>
    <t>pereira.marcelo@ifsp.edu.br</t>
  </si>
  <si>
    <t>Graduação em Licenciatura Plena em Matemática</t>
  </si>
  <si>
    <t>MARCELO MACCHI DA SILVA</t>
  </si>
  <si>
    <t>CTA - 955</t>
  </si>
  <si>
    <t>Mestrado em Engenharia Elétrica </t>
  </si>
  <si>
    <t>marcelo.macchi@ifsp.edu.br</t>
  </si>
  <si>
    <t>MARCELO PEREIRA BERGAMASCHI</t>
  </si>
  <si>
    <t>Especialização em Gestão Pública</t>
  </si>
  <si>
    <t>Especialização em Processamento da Informação</t>
  </si>
  <si>
    <t>Especialização em Ciência da Computação</t>
  </si>
  <si>
    <t>Graduação em Análise e Desenvolvimento de Sistemas</t>
  </si>
  <si>
    <t>MARCELO SARAIVA COELHO</t>
  </si>
  <si>
    <t>Doutorado em Engenharia Biomédica</t>
  </si>
  <si>
    <t>mcoelho@ifsp.edu.br </t>
  </si>
  <si>
    <t>Mestrado profissional em Engenharia Mecânica</t>
  </si>
  <si>
    <t>Especialização em Machine Condition Diagnosis Technique</t>
  </si>
  <si>
    <t>Especialização em Sistemas Elétricos</t>
  </si>
  <si>
    <t>MARCIEL SILVA SANTOS</t>
  </si>
  <si>
    <t>Mestrado em Sensoriamento Remoto </t>
  </si>
  <si>
    <t>marcielss@ifsp.edu.br </t>
  </si>
  <si>
    <t>Especialização em Física Médica do Radiodiagnóstico</t>
  </si>
  <si>
    <t>Graduação em Licenciatura em Física</t>
  </si>
  <si>
    <t>MARCO AURÉLIO PIRES MARQUES</t>
  </si>
  <si>
    <t>CIP - 528</t>
  </si>
  <si>
    <t>mmarques@ifsp.edu.br</t>
  </si>
  <si>
    <t>Especialização em Administração com ênfase em Análise de Sistemas</t>
  </si>
  <si>
    <t>MARCOS MARINOVIC DORO</t>
  </si>
  <si>
    <t>marcos.doro@ifsp.edu.br</t>
  </si>
  <si>
    <t>Mestrado em Metrologia Científica e Industrial </t>
  </si>
  <si>
    <t>MARCOS SALAZAR FRANCISCO</t>
  </si>
  <si>
    <t>Mestrado profissional em Automação e Controle de Processos</t>
  </si>
  <si>
    <t>salazar@ifsp.edu.br </t>
  </si>
  <si>
    <t>Especialização em Sistemas de Computação</t>
  </si>
  <si>
    <t>Graduação em Engenharia Elétrica com ênfase em Eletrônica</t>
  </si>
  <si>
    <t>MARIA DE FÁTIMA DAS NEVES MOREIRA</t>
  </si>
  <si>
    <t>Mestrado em História Social</t>
  </si>
  <si>
    <t>fatimamoreira@ifsp.edu.br</t>
  </si>
  <si>
    <t>Especialização em Planejamento, Implantação e Gestão de Educação a Distância</t>
  </si>
  <si>
    <t>Especialização em Ética, Valores e Cidadania</t>
  </si>
  <si>
    <t>Graduação em História</t>
  </si>
  <si>
    <t>MARIA JEANNA SOUSA DOS SANTOS OLIVEIRA</t>
  </si>
  <si>
    <t>Mestrado em Educação, Administração e Comunicação</t>
  </si>
  <si>
    <t>jeannasantoss@ifsp.edu.br </t>
  </si>
  <si>
    <t>Exercício Provisório</t>
  </si>
  <si>
    <t>Especialização em Especialização em Matemática</t>
  </si>
  <si>
    <t>Graduação em Licenciatura plena em Matemática</t>
  </si>
  <si>
    <t>MARINA DUARTE GOMES SILVA</t>
  </si>
  <si>
    <t>Mestrado em planejamento regional e gestão de cidades</t>
  </si>
  <si>
    <t>marina.duarte@ifsp.edu.br</t>
  </si>
  <si>
    <t>Especialização em Especialização em Formação de Professores - Ênfase Ensino Superior</t>
  </si>
  <si>
    <t>Especialização em Gestão Ambeintal</t>
  </si>
  <si>
    <t>MARTA FERNANDES GARCIA</t>
  </si>
  <si>
    <t>martagarcia@ifsp.edu.br</t>
  </si>
  <si>
    <t>Especialização em Form. de Profs.para cursos semipresenciais e EAD</t>
  </si>
  <si>
    <t>Especialização em Arte, Educação e Tecnologias Contemporâneas</t>
  </si>
  <si>
    <t>MATILDE PEREZ QUINTAIROS</t>
  </si>
  <si>
    <t>NAPNE</t>
  </si>
  <si>
    <t>matilde.perez.quintairos@ifsp.edu.br</t>
  </si>
  <si>
    <t>Graduação em Lic. Plena na Área de Proc. de Dados</t>
  </si>
  <si>
    <t>Graduação em Bacharelado em Química</t>
  </si>
  <si>
    <t>Graduação em Ciências</t>
  </si>
  <si>
    <t>MAURICIO NEVES ASENJO</t>
  </si>
  <si>
    <t>Especialização em Especialização em Processamento da Informação</t>
  </si>
  <si>
    <t>asenjo@ifsp.edu.br</t>
  </si>
  <si>
    <t>Especialização em Latu Sensu em Ciência da Computação</t>
  </si>
  <si>
    <t>Graduação em Bacharelado em Matemática</t>
  </si>
  <si>
    <t>NATALIA SALAN MARPICA</t>
  </si>
  <si>
    <t>Doutorado em Sociologia da Educação</t>
  </si>
  <si>
    <t>natalia.salan@ifsp.edu.br</t>
  </si>
  <si>
    <t>Especialização em Comunicación con fines sociales</t>
  </si>
  <si>
    <t>Graduação em Licenciatura em Ciências Sociais</t>
  </si>
  <si>
    <t>Graduação em Tecnologia do Saneamento Ambiental</t>
  </si>
  <si>
    <t>NELSON DA SILVA PAZ</t>
  </si>
  <si>
    <t>nelsonpaz@ifsp.edu.br</t>
  </si>
  <si>
    <t>Graduação em bacharelado em ciência da computação</t>
  </si>
  <si>
    <t>NELSON NASCIMENTO JUNIOR</t>
  </si>
  <si>
    <t>Doutorado em Ciência da Computação</t>
  </si>
  <si>
    <t>nelsonjr@ifsp.edu.br </t>
  </si>
  <si>
    <t>Mestrado em Engenharia da Informação </t>
  </si>
  <si>
    <t>Especialização em Ciência e Tecnologia</t>
  </si>
  <si>
    <t>Especialização em Programa especial de formação pedagógica docente</t>
  </si>
  <si>
    <t>NILCE CAMILA DE CARVALHO</t>
  </si>
  <si>
    <t>nilce.camila@ifsp.edu.br</t>
  </si>
  <si>
    <t>PAULA LARANGEIRA GARCIA MARTINS</t>
  </si>
  <si>
    <t>Doutorado em Interdisciplinar em Ciências da Saúde</t>
  </si>
  <si>
    <t>paulamartins@ifsp.edu.br</t>
  </si>
  <si>
    <t>Mestrado em Toxicologia e Análises Toxicológicas</t>
  </si>
  <si>
    <t>Graduação em Química Tecnológica</t>
  </si>
  <si>
    <t>PAULO BUENO GUERRA</t>
  </si>
  <si>
    <t>paulobueno@ifsp.edu.br</t>
  </si>
  <si>
    <t>Especialização em Lato Sensu Metodologia e Didática Ensino Superior</t>
  </si>
  <si>
    <t>Especialização em Pós-Graduação lato sensu Ecologia Marinha</t>
  </si>
  <si>
    <t>Especialização em Ecologia do Litoral</t>
  </si>
  <si>
    <t>Graduação em Licenciatura Plena em Biologia</t>
  </si>
  <si>
    <t>PAULO JORGE DE OLIVEIRA CARVALHO</t>
  </si>
  <si>
    <t>Doutorado em Programa Intercalar de Doutoramento em Educação</t>
  </si>
  <si>
    <t xml:space="preserve">	paulo.jorge@ifsp.edu.br</t>
  </si>
  <si>
    <t>Doutorado em Educação: História, Política, Sociedade</t>
  </si>
  <si>
    <t>Mestrado em Educação: História, Política, Sociedade</t>
  </si>
  <si>
    <t>Especialização em Formação integrada multiprofissional em educação permanente em saúde</t>
  </si>
  <si>
    <t>Especialização em Novas Tecnologias de Ensino-Aprendizagem</t>
  </si>
  <si>
    <t>Especialização em Metodologias e Gestão para Educação a Distância</t>
  </si>
  <si>
    <t>Especialização em Psicologia Clínica</t>
  </si>
  <si>
    <t>Especialização em Psicologia Hospitalar</t>
  </si>
  <si>
    <t>Especialização em Psicanálise</t>
  </si>
  <si>
    <t>Especialização em Psicologia Clínica em Psicodiagnóstico</t>
  </si>
  <si>
    <t>Graduação em Psicologia</t>
  </si>
  <si>
    <t>PAULO MANNINI</t>
  </si>
  <si>
    <t>CSS</t>
  </si>
  <si>
    <t>Mestrado em Sistemas de Informação</t>
  </si>
  <si>
    <t>paulo.mannini@ifsp.edu.br</t>
  </si>
  <si>
    <t>Graduação em Engenharia de Controle e Automação</t>
  </si>
  <si>
    <t>PAULO VITOR DE SOUZA PERRI</t>
  </si>
  <si>
    <t>Mestrado profissional em Matemática em Rede Nacional</t>
  </si>
  <si>
    <t>paulo.perri@ifsp.edu.br</t>
  </si>
  <si>
    <t>PHELIPPE DE AGUIAR LIMA</t>
  </si>
  <si>
    <t>Mestrado profissional em Programa de Pós Graduação em Engenharia de Sistemas e Produtos</t>
  </si>
  <si>
    <t>phelippe.aguiar@ifsp.edu.br</t>
  </si>
  <si>
    <t>RAFAEL STOPPA ROCHA</t>
  </si>
  <si>
    <t>Mestrado em Lingüística </t>
  </si>
  <si>
    <t>stoppa@ifsp.edu.br</t>
  </si>
  <si>
    <t>Graduação em Licenciatura - Português</t>
  </si>
  <si>
    <t>Graduação em Bacharelado - Português</t>
  </si>
  <si>
    <t>REBECA PREVIATE MEDINA</t>
  </si>
  <si>
    <t>Pós-Doutorado. Grande área: Ciências Exatas e da Terra</t>
  </si>
  <si>
    <t>medina.rebeca@ifsp.edu.br</t>
  </si>
  <si>
    <t>Graduação em Química</t>
  </si>
  <si>
    <t>RICARDO SORGON PIRES</t>
  </si>
  <si>
    <t>Doutorado em História Social</t>
  </si>
  <si>
    <t>ricardosorgon@ifsp.edu.br</t>
  </si>
  <si>
    <t xml:space="preserve">Graduação em História </t>
  </si>
  <si>
    <t>RICARDO SINIGAGLIA ARRUDA</t>
  </si>
  <si>
    <t>Mestre em História</t>
  </si>
  <si>
    <t>ricardo.arruda@ifsp.edu.br</t>
  </si>
  <si>
    <t>RITA DE CÁSSIA DEMARCHI</t>
  </si>
  <si>
    <t xml:space="preserve">Pós-Doutorado. Grande Área: Linguística, Letras e Artes </t>
  </si>
  <si>
    <t>ritademarchi@ifsp.edu.br</t>
  </si>
  <si>
    <t>Doutorado em Educação, Arte e História da Cultura</t>
  </si>
  <si>
    <t>Mestrado em Artes Visuais</t>
  </si>
  <si>
    <t>Especialização em Ensino, Arte e Cultura</t>
  </si>
  <si>
    <t>Graduação em Educação Artística Lic. Plena em Artes Plásticas</t>
  </si>
  <si>
    <t>Graduação em Bacharel em Administração</t>
  </si>
  <si>
    <t>ROBERTA SILVA ANTUNES</t>
  </si>
  <si>
    <t>Mestrado em Higher Education</t>
  </si>
  <si>
    <t>antunes.rob@ifsp.edu.br</t>
  </si>
  <si>
    <t>Mestrado em Linguística </t>
  </si>
  <si>
    <t>Graduação em Língua Portuguesa e Lingüística</t>
  </si>
  <si>
    <t>Graduação em Letras (português e inglês)</t>
  </si>
  <si>
    <t>ROSANA NÚBIA SORBILLE</t>
  </si>
  <si>
    <t>Doutorado em Sociologia</t>
  </si>
  <si>
    <t>rosana.sorbille@ifsp.edu.br</t>
  </si>
  <si>
    <t>COOPERAÇÃO</t>
  </si>
  <si>
    <t>Mestrado em Integração da América Latina</t>
  </si>
  <si>
    <t xml:space="preserve">Graduação </t>
  </si>
  <si>
    <t>RUBENS LACERDA DE SÁ</t>
  </si>
  <si>
    <t>Doutorado em Linguística Aplicada</t>
  </si>
  <si>
    <t>rubens.sa@ifsp.edu.br</t>
  </si>
  <si>
    <t>Mestrado em Linguística</t>
  </si>
  <si>
    <t>Especialização em Ensino de Língua Estrangeira para Fins Específicos</t>
  </si>
  <si>
    <t>Graduação em Letras - Português e Inglês</t>
  </si>
  <si>
    <t>SANDRA REGINA LIMA DOS SANTOS SILVA</t>
  </si>
  <si>
    <t>LMA</t>
  </si>
  <si>
    <t>sandra.santos@ifsp.edu.br</t>
  </si>
  <si>
    <t>Especialização em Magistério do Ensino Superior</t>
  </si>
  <si>
    <t>SERGIO ARNAUD SAMPAIO</t>
  </si>
  <si>
    <t>Mestrado em Engenharia Civil </t>
  </si>
  <si>
    <t>sergioarnaud@ifsp.edu.br </t>
  </si>
  <si>
    <t>SÉRGIO HENRIQUE ROCHA BATISTA</t>
  </si>
  <si>
    <t>rocha.sergio@ifsp.edu.br</t>
  </si>
  <si>
    <t>Especialização em Biblioteconomia.</t>
  </si>
  <si>
    <t>Licenciatura en Letras</t>
  </si>
  <si>
    <t>SOLANGE MARIA DA SILVA</t>
  </si>
  <si>
    <t>Mestrado em Controladoria e Contabilidade Estratégica</t>
  </si>
  <si>
    <t>solange.silva@ifsp.edu.br</t>
  </si>
  <si>
    <t>Especialização em Administração de Empresas</t>
  </si>
  <si>
    <t>Graduação em Ciências Contábeis</t>
  </si>
  <si>
    <t>Graduação em Ciências Econômicas</t>
  </si>
  <si>
    <t>SUELI MARIA PREDA DOS SANTOS TORRES</t>
  </si>
  <si>
    <t>Doutorado em Ciências</t>
  </si>
  <si>
    <t>sueli.bio@ifsp.edu.br </t>
  </si>
  <si>
    <t>Mestrado em Histologia</t>
  </si>
  <si>
    <t>Especialização em Enfermagem do Trabalho</t>
  </si>
  <si>
    <t>Graduação em Ciências Biológicas</t>
  </si>
  <si>
    <t>Graduação em Enfermagem e Obstetrícia</t>
  </si>
  <si>
    <t>THIAGO RODRIGUES SCHULZE</t>
  </si>
  <si>
    <t>CBAT - 535</t>
  </si>
  <si>
    <t>Doutorado em Educação Currículo</t>
  </si>
  <si>
    <t>schulze.thiago@ifsp.edu.br</t>
  </si>
  <si>
    <t>Mestrado em Educação - Currículo</t>
  </si>
  <si>
    <t>Especialização em Docência em Turismo e Hotelaria</t>
  </si>
  <si>
    <t>Especialização em Planejamento e Marketing Turístico</t>
  </si>
  <si>
    <t>THIAGO SILVA AUGUSTO DA FONSECA</t>
  </si>
  <si>
    <t>Mestrado em Filosofia</t>
  </si>
  <si>
    <t>thiagofonseca@ifsp.edu.br</t>
  </si>
  <si>
    <t>Graduação em Propaganda e Marketing.</t>
  </si>
  <si>
    <t>ULISSES GALVAO ROMAO</t>
  </si>
  <si>
    <t>Especialização em Sistema de Energia</t>
  </si>
  <si>
    <t>ulisses.romao@ifsp.edu.br </t>
  </si>
  <si>
    <t>Graduação em Licenciatura em Elétrica</t>
  </si>
  <si>
    <t>VALDERI SILVEIRA PINTO JR</t>
  </si>
  <si>
    <t>Especialização</t>
  </si>
  <si>
    <t>valderi.pinto@ifsp.edu.br</t>
  </si>
  <si>
    <t>VALERIA LUIZA PEREIRA FEDRIZZI</t>
  </si>
  <si>
    <t>Pós-Doutorado. Grande Área: Ciências Sociais Aplicadas / Área: Turismo</t>
  </si>
  <si>
    <t>valeria.fedrizzi@ifsp.edu.br</t>
  </si>
  <si>
    <t>Doutorado em Ciência da Informação</t>
  </si>
  <si>
    <t>Mestrado em Hospitalidade</t>
  </si>
  <si>
    <t>Especialização em Metodologia da Pesquisa Científica</t>
  </si>
  <si>
    <t>WELLINGTON SANTOS RAMOS</t>
  </si>
  <si>
    <t>Doutorado em Ciências da Religião </t>
  </si>
  <si>
    <t>professorwramos@ifsp.edu.br</t>
  </si>
  <si>
    <t>Mestrado em Ciências da Religião </t>
  </si>
  <si>
    <t>WELLINGTON TULER MORAES</t>
  </si>
  <si>
    <t>wellingtontm@ifsp.edu.br </t>
  </si>
  <si>
    <t>Especialização em MBA Gestão em Tecnologia da Informação</t>
  </si>
  <si>
    <t>Regime de trabalho</t>
  </si>
  <si>
    <t>Quantidade de Docentes</t>
  </si>
  <si>
    <t>Percentual</t>
  </si>
  <si>
    <t>Titulação</t>
  </si>
  <si>
    <t>Graduado(a)</t>
  </si>
  <si>
    <t>Mestre(a)</t>
  </si>
  <si>
    <t>Doutor(a)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</si>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</sst>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u/>
      <sz val="10.0"/>
      <color theme="10"/>
      <name val="Calibri"/>
    </font>
    <font/>
    <font>
      <u/>
      <sz val="10.0"/>
      <color rgb="FF0563C1"/>
      <name val="Calibri"/>
    </font>
    <font>
      <u/>
      <sz val="10.0"/>
      <color theme="10"/>
      <name val="Calibri"/>
    </font>
    <font>
      <u/>
      <sz val="10.0"/>
      <color rgb="FF0563C1"/>
      <name val="Calibri"/>
    </font>
    <font>
      <u/>
      <sz val="10.0"/>
      <color rgb="FF1155CC"/>
      <name val="Calibri"/>
    </font>
    <font>
      <u/>
      <sz val="10.0"/>
      <color rgb="FF0000FF"/>
      <name val="Calibri"/>
    </font>
    <font>
      <sz val="10.0"/>
      <color rgb="FF1155CC"/>
      <name val="Calibri"/>
    </font>
    <font>
      <u/>
      <sz val="10.0"/>
      <color theme="10"/>
      <name val="Calibri"/>
    </font>
    <font>
      <u/>
      <sz val="10.0"/>
      <color theme="10"/>
      <name val="Calibri"/>
    </font>
    <font>
      <u/>
      <sz val="10.0"/>
      <color rgb="FF0000FF"/>
      <name val="Calibri"/>
    </font>
    <font>
      <u/>
      <sz val="10.0"/>
      <color theme="10"/>
      <name val="Calibri"/>
    </font>
    <font>
      <sz val="10.0"/>
      <color rgb="FF0070C0"/>
      <name val="Calibri"/>
    </font>
    <font>
      <u/>
      <sz val="10.0"/>
      <color rgb="FF0070C0"/>
      <name val="Calibri"/>
    </font>
    <font>
      <u/>
      <sz val="10.0"/>
      <color rgb="FF1155CC"/>
      <name val="Calibri"/>
    </font>
    <font>
      <sz val="10.0"/>
      <color rgb="FF0563C1"/>
      <name val="Calibri"/>
    </font>
    <font>
      <sz val="10.0"/>
      <color rgb="FF000000"/>
      <name val="Calibri"/>
    </font>
    <font>
      <u/>
      <sz val="10.0"/>
      <color rgb="FF1155CC"/>
      <name val="Calibri"/>
    </font>
    <font>
      <sz val="10.0"/>
      <color rgb="FF333333"/>
      <name val="Calibri"/>
    </font>
    <font>
      <sz val="10.0"/>
      <color theme="10"/>
      <name val="Calibri"/>
    </font>
    <font>
      <u/>
      <sz val="10.0"/>
      <color rgb="FF1155CC"/>
      <name val="Calibri"/>
    </font>
    <font>
      <u/>
      <sz val="10.0"/>
      <color rgb="FF0070C0"/>
      <name val="Calibri"/>
    </font>
    <font>
      <u/>
      <sz val="8.0"/>
      <color rgb="FF0000FF"/>
      <name val="Tahoma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1155CC"/>
      <name val="Calibri"/>
    </font>
    <font>
      <u/>
      <sz val="10.0"/>
      <color rgb="FF0000FF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3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shrinkToFit="0" vertical="center" wrapText="1"/>
    </xf>
    <xf borderId="0" fillId="3" fontId="2" numFmtId="0" xfId="0" applyFill="1" applyFont="1"/>
    <xf borderId="4" fillId="3" fontId="2" numFmtId="0" xfId="0" applyAlignment="1" applyBorder="1" applyFont="1">
      <alignment horizontal="left" shrinkToFit="0" vertical="center" wrapText="1"/>
    </xf>
    <xf borderId="5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7" fillId="3" fontId="2" numFmtId="0" xfId="0" applyAlignment="1" applyBorder="1" applyFont="1">
      <alignment readingOrder="0" shrinkToFit="0" vertical="center" wrapText="1"/>
    </xf>
    <xf borderId="5" fillId="3" fontId="3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readingOrder="0" vertical="center"/>
    </xf>
    <xf borderId="8" fillId="3" fontId="2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9" fillId="3" fontId="2" numFmtId="0" xfId="0" applyAlignment="1" applyBorder="1" applyFont="1">
      <alignment shrinkToFit="0" vertical="center" wrapText="1"/>
    </xf>
    <xf borderId="8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3" fontId="2" numFmtId="0" xfId="0" applyAlignment="1" applyBorder="1" applyFont="1">
      <alignment vertical="center"/>
    </xf>
    <xf borderId="14" fillId="3" fontId="2" numFmtId="0" xfId="0" applyAlignment="1" applyBorder="1" applyFont="1">
      <alignment horizontal="left" shrinkToFit="0" vertical="center" wrapText="1"/>
    </xf>
    <xf borderId="15" fillId="3" fontId="2" numFmtId="0" xfId="0" applyAlignment="1" applyBorder="1" applyFont="1">
      <alignment horizontal="center" vertical="center"/>
    </xf>
    <xf borderId="16" fillId="3" fontId="2" numFmtId="0" xfId="0" applyAlignment="1" applyBorder="1" applyFont="1">
      <alignment shrinkToFit="0" vertical="center" wrapText="1"/>
    </xf>
    <xf borderId="15" fillId="3" fontId="5" numFmtId="0" xfId="0" applyAlignment="1" applyBorder="1" applyFont="1">
      <alignment horizontal="center" readingOrder="0" vertical="center"/>
    </xf>
    <xf borderId="15" fillId="3" fontId="6" numFmtId="0" xfId="0" applyAlignment="1" applyBorder="1" applyFont="1">
      <alignment horizontal="center" vertical="center"/>
    </xf>
    <xf borderId="17" fillId="3" fontId="2" numFmtId="0" xfId="0" applyAlignment="1" applyBorder="1" applyFont="1">
      <alignment horizontal="center" shrinkToFit="0" vertical="center" wrapText="1"/>
    </xf>
    <xf borderId="13" fillId="3" fontId="2" numFmtId="0" xfId="0" applyAlignment="1" applyBorder="1" applyFont="1">
      <alignment shrinkToFit="0" vertical="center" wrapText="1"/>
    </xf>
    <xf borderId="18" fillId="0" fontId="4" numFmtId="0" xfId="0" applyBorder="1" applyFont="1"/>
    <xf borderId="15" fillId="3" fontId="7" numFmtId="0" xfId="0" applyAlignment="1" applyBorder="1" applyFont="1">
      <alignment horizontal="center" vertical="center"/>
    </xf>
    <xf borderId="16" fillId="3" fontId="2" numFmtId="0" xfId="0" applyAlignment="1" applyBorder="1" applyFont="1">
      <alignment vertical="center"/>
    </xf>
    <xf borderId="15" fillId="3" fontId="8" numFmtId="0" xfId="0" applyAlignment="1" applyBorder="1" applyFont="1">
      <alignment horizontal="center" readingOrder="0" vertical="center"/>
    </xf>
    <xf borderId="9" fillId="3" fontId="2" numFmtId="0" xfId="0" applyAlignment="1" applyBorder="1" applyFont="1">
      <alignment vertical="center"/>
    </xf>
    <xf borderId="14" fillId="3" fontId="2" numFmtId="0" xfId="0" applyAlignment="1" applyBorder="1" applyFont="1">
      <alignment horizontal="left" readingOrder="0" shrinkToFit="0" vertical="center" wrapText="1"/>
    </xf>
    <xf borderId="15" fillId="3" fontId="2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readingOrder="0" vertical="center"/>
    </xf>
    <xf borderId="15" fillId="3" fontId="9" numFmtId="0" xfId="0" applyAlignment="1" applyBorder="1" applyFont="1">
      <alignment horizontal="center" readingOrder="0" vertical="center"/>
    </xf>
    <xf borderId="15" fillId="3" fontId="2" numFmtId="0" xfId="0" applyAlignment="1" applyBorder="1" applyFont="1">
      <alignment horizontal="center" readingOrder="0" shrinkToFit="0" vertical="center" wrapText="1"/>
    </xf>
    <xf borderId="15" fillId="3" fontId="10" numFmtId="0" xfId="0" applyAlignment="1" applyBorder="1" applyFont="1">
      <alignment horizontal="center" readingOrder="0" shrinkToFit="0" vertical="center" wrapText="1"/>
    </xf>
    <xf borderId="17" fillId="3" fontId="2" numFmtId="0" xfId="0" applyAlignment="1" applyBorder="1" applyFont="1">
      <alignment horizontal="center" vertical="center"/>
    </xf>
    <xf borderId="9" fillId="3" fontId="2" numFmtId="0" xfId="0" applyAlignment="1" applyBorder="1" applyFont="1">
      <alignment readingOrder="0" vertical="center"/>
    </xf>
    <xf borderId="19" fillId="3" fontId="2" numFmtId="0" xfId="0" applyAlignment="1" applyBorder="1" applyFont="1">
      <alignment readingOrder="0" vertical="center"/>
    </xf>
    <xf borderId="16" fillId="3" fontId="2" numFmtId="0" xfId="0" applyAlignment="1" applyBorder="1" applyFont="1">
      <alignment readingOrder="0" vertical="center"/>
    </xf>
    <xf borderId="15" fillId="3" fontId="11" numFmtId="0" xfId="0" applyAlignment="1" applyBorder="1" applyFont="1">
      <alignment horizontal="center" shrinkToFit="0" vertical="center" wrapText="1"/>
    </xf>
    <xf borderId="19" fillId="3" fontId="2" numFmtId="0" xfId="0" applyAlignment="1" applyBorder="1" applyFont="1">
      <alignment vertical="center"/>
    </xf>
    <xf borderId="15" fillId="3" fontId="10" numFmtId="0" xfId="0" applyAlignment="1" applyBorder="1" applyFont="1">
      <alignment horizontal="center" readingOrder="0" vertical="center"/>
    </xf>
    <xf borderId="13" fillId="3" fontId="2" numFmtId="0" xfId="0" applyAlignment="1" applyBorder="1" applyFont="1">
      <alignment readingOrder="0" vertical="center"/>
    </xf>
    <xf borderId="7" fillId="3" fontId="2" numFmtId="0" xfId="0" applyAlignment="1" applyBorder="1" applyFont="1">
      <alignment vertical="center"/>
    </xf>
    <xf borderId="8" fillId="3" fontId="12" numFmtId="0" xfId="0" applyAlignment="1" applyBorder="1" applyFont="1">
      <alignment horizontal="center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5" fillId="3" fontId="2" numFmtId="0" xfId="0" applyAlignment="1" applyBorder="1" applyFont="1">
      <alignment readingOrder="0" shrinkToFit="0" vertical="center" wrapText="1"/>
    </xf>
    <xf borderId="5" fillId="3" fontId="13" numFmtId="0" xfId="0" applyAlignment="1" applyBorder="1" applyFont="1">
      <alignment horizontal="center" readingOrder="0" vertical="center"/>
    </xf>
    <xf borderId="5" fillId="3" fontId="10" numFmtId="0" xfId="0" applyAlignment="1" applyBorder="1" applyFont="1">
      <alignment horizontal="center" readingOrder="0" vertical="center"/>
    </xf>
    <xf borderId="8" fillId="3" fontId="2" numFmtId="0" xfId="0" applyAlignment="1" applyBorder="1" applyFont="1">
      <alignment horizontal="center" shrinkToFit="0" vertical="center" wrapText="1"/>
    </xf>
    <xf borderId="9" fillId="3" fontId="2" numFmtId="0" xfId="0" applyAlignment="1" applyBorder="1" applyFont="1">
      <alignment readingOrder="0" shrinkToFit="0" vertical="center" wrapText="1"/>
    </xf>
    <xf borderId="17" fillId="3" fontId="2" numFmtId="0" xfId="0" applyAlignment="1" applyBorder="1" applyFont="1">
      <alignment horizontal="center" readingOrder="0" shrinkToFit="0" vertical="center" wrapText="1"/>
    </xf>
    <xf borderId="17" fillId="3" fontId="14" numFmtId="0" xfId="0" applyAlignment="1" applyBorder="1" applyFont="1">
      <alignment horizontal="center" shrinkToFit="0" vertical="center" wrapText="1"/>
    </xf>
    <xf borderId="15" fillId="3" fontId="2" numFmtId="0" xfId="0" applyAlignment="1" applyBorder="1" applyFont="1">
      <alignment horizontal="center" shrinkToFit="0" vertical="center" wrapText="1"/>
    </xf>
    <xf borderId="20" fillId="3" fontId="2" numFmtId="0" xfId="0" applyAlignment="1" applyBorder="1" applyFont="1">
      <alignment readingOrder="0" shrinkToFit="0" vertical="center" wrapText="1"/>
    </xf>
    <xf borderId="21" fillId="3" fontId="2" numFmtId="0" xfId="0" applyAlignment="1" applyBorder="1" applyFont="1">
      <alignment readingOrder="0" shrinkToFit="0" vertical="center" wrapText="1"/>
    </xf>
    <xf borderId="22" fillId="3" fontId="2" numFmtId="0" xfId="0" applyAlignment="1" applyBorder="1" applyFont="1">
      <alignment horizontal="center" readingOrder="0" vertical="center"/>
    </xf>
    <xf borderId="22" fillId="3" fontId="15" numFmtId="0" xfId="0" applyAlignment="1" applyBorder="1" applyFont="1">
      <alignment horizontal="center" readingOrder="0" vertical="center"/>
    </xf>
    <xf borderId="23" fillId="3" fontId="2" numFmtId="0" xfId="0" applyAlignment="1" applyBorder="1" applyFont="1">
      <alignment horizontal="center" vertical="center"/>
    </xf>
    <xf borderId="24" fillId="0" fontId="4" numFmtId="0" xfId="0" applyBorder="1" applyFont="1"/>
    <xf borderId="25" fillId="3" fontId="2" numFmtId="0" xfId="0" applyAlignment="1" applyBorder="1" applyFont="1">
      <alignment readingOrder="0" shrinkToFit="0" vertical="center" wrapText="1"/>
    </xf>
    <xf borderId="26" fillId="0" fontId="4" numFmtId="0" xfId="0" applyBorder="1" applyFont="1"/>
    <xf borderId="27" fillId="0" fontId="4" numFmtId="0" xfId="0" applyBorder="1" applyFont="1"/>
    <xf borderId="28" fillId="0" fontId="4" numFmtId="0" xfId="0" applyBorder="1" applyFont="1"/>
    <xf borderId="29" fillId="3" fontId="2" numFmtId="0" xfId="0" applyAlignment="1" applyBorder="1" applyFont="1">
      <alignment readingOrder="0" shrinkToFit="0" vertical="center" wrapText="1"/>
    </xf>
    <xf borderId="30" fillId="0" fontId="4" numFmtId="0" xfId="0" applyBorder="1" applyFont="1"/>
    <xf borderId="31" fillId="0" fontId="4" numFmtId="0" xfId="0" applyBorder="1" applyFont="1"/>
    <xf borderId="1" fillId="3" fontId="2" numFmtId="0" xfId="0" applyAlignment="1" applyBorder="1" applyFont="1">
      <alignment shrinkToFit="0" vertical="center" wrapText="1"/>
    </xf>
    <xf borderId="2" fillId="3" fontId="2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vertical="center"/>
    </xf>
    <xf borderId="3" fillId="3" fontId="2" numFmtId="0" xfId="0" applyAlignment="1" applyBorder="1" applyFont="1">
      <alignment shrinkToFit="0" vertical="center" wrapText="1"/>
    </xf>
    <xf borderId="30" fillId="3" fontId="10" numFmtId="0" xfId="0" applyAlignment="1" applyBorder="1" applyFont="1">
      <alignment horizontal="center" readingOrder="0" vertical="center"/>
    </xf>
    <xf borderId="11" fillId="3" fontId="2" numFmtId="0" xfId="0" applyAlignment="1" applyBorder="1" applyFont="1">
      <alignment horizontal="center" readingOrder="0" vertical="center"/>
    </xf>
    <xf borderId="11" fillId="3" fontId="16" numFmtId="0" xfId="0" applyAlignment="1" applyBorder="1" applyFont="1">
      <alignment horizontal="center" vertical="center"/>
    </xf>
    <xf borderId="31" fillId="3" fontId="2" numFmtId="0" xfId="0" applyAlignment="1" applyBorder="1" applyFont="1">
      <alignment horizontal="center" vertical="center"/>
    </xf>
    <xf borderId="7" fillId="3" fontId="2" numFmtId="0" xfId="0" applyAlignment="1" applyBorder="1" applyFont="1">
      <alignment shrinkToFit="0" vertical="center" wrapText="1"/>
    </xf>
    <xf borderId="15" fillId="3" fontId="17" numFmtId="0" xfId="0" applyAlignment="1" applyBorder="1" applyFont="1">
      <alignment horizontal="center" vertical="center"/>
    </xf>
    <xf borderId="15" fillId="3" fontId="18" numFmtId="0" xfId="0" applyAlignment="1" applyBorder="1" applyFont="1">
      <alignment horizontal="center" vertical="center"/>
    </xf>
    <xf borderId="16" fillId="3" fontId="2" numFmtId="0" xfId="0" applyAlignment="1" applyBorder="1" applyFont="1">
      <alignment horizontal="left" readingOrder="0"/>
    </xf>
    <xf borderId="17" fillId="3" fontId="19" numFmtId="0" xfId="0" applyAlignment="1" applyBorder="1" applyFont="1">
      <alignment horizontal="center" readingOrder="0" shrinkToFit="0" vertical="center" wrapText="1"/>
    </xf>
    <xf borderId="9" fillId="3" fontId="2" numFmtId="0" xfId="0" applyAlignment="1" applyBorder="1" applyFont="1">
      <alignment horizontal="left" readingOrder="0"/>
    </xf>
    <xf borderId="13" fillId="3" fontId="2" numFmtId="0" xfId="0" applyAlignment="1" applyBorder="1" applyFont="1">
      <alignment horizontal="left" readingOrder="0"/>
    </xf>
    <xf borderId="7" fillId="3" fontId="2" numFmtId="0" xfId="0" applyAlignment="1" applyBorder="1" applyFont="1">
      <alignment horizontal="left" readingOrder="0"/>
    </xf>
    <xf borderId="5" fillId="3" fontId="20" numFmtId="0" xfId="0" applyAlignment="1" applyBorder="1" applyFont="1">
      <alignment horizontal="center" readingOrder="0" vertical="center"/>
    </xf>
    <xf borderId="8" fillId="3" fontId="19" numFmtId="0" xfId="0" applyAlignment="1" applyBorder="1" applyFont="1">
      <alignment horizontal="center" readingOrder="0" shrinkToFit="0" vertical="center" wrapText="1"/>
    </xf>
    <xf borderId="16" fillId="3" fontId="2" numFmtId="0" xfId="0" applyAlignment="1" applyBorder="1" applyFont="1">
      <alignment readingOrder="0" shrinkToFit="0" vertical="center" wrapText="1"/>
    </xf>
    <xf borderId="15" fillId="3" fontId="21" numFmtId="0" xfId="0" applyAlignment="1" applyBorder="1" applyFont="1">
      <alignment horizontal="center" readingOrder="0" vertical="center"/>
    </xf>
    <xf borderId="13" fillId="3" fontId="2" numFmtId="0" xfId="0" applyAlignment="1" applyBorder="1" applyFont="1">
      <alignment readingOrder="0" shrinkToFit="0" vertical="center" wrapText="1"/>
    </xf>
    <xf borderId="5" fillId="3" fontId="21" numFmtId="0" xfId="0" applyAlignment="1" applyBorder="1" applyFont="1">
      <alignment horizontal="center" vertical="center"/>
    </xf>
    <xf borderId="9" fillId="3" fontId="2" numFmtId="0" xfId="0" applyAlignment="1" applyBorder="1" applyFont="1">
      <alignment horizontal="left"/>
    </xf>
    <xf borderId="16" fillId="3" fontId="2" numFmtId="0" xfId="0" applyAlignment="1" applyBorder="1" applyFont="1">
      <alignment horizontal="left"/>
    </xf>
    <xf borderId="13" fillId="3" fontId="2" numFmtId="0" xfId="0" applyAlignment="1" applyBorder="1" applyFont="1">
      <alignment horizontal="left"/>
    </xf>
    <xf borderId="21" fillId="3" fontId="19" numFmtId="0" xfId="0" applyAlignment="1" applyBorder="1" applyFont="1">
      <alignment horizontal="left" readingOrder="0"/>
    </xf>
    <xf borderId="15" fillId="3" fontId="22" numFmtId="0" xfId="0" applyAlignment="1" applyBorder="1" applyFont="1">
      <alignment horizontal="center" vertical="center"/>
    </xf>
    <xf borderId="19" fillId="3" fontId="2" numFmtId="0" xfId="0" applyAlignment="1" applyBorder="1" applyFont="1">
      <alignment shrinkToFit="0" vertical="center" wrapText="1"/>
    </xf>
    <xf borderId="15" fillId="3" fontId="2" numFmtId="0" xfId="0" applyAlignment="1" applyBorder="1" applyFont="1">
      <alignment horizontal="left"/>
    </xf>
    <xf borderId="26" fillId="3" fontId="2" numFmtId="0" xfId="0" applyAlignment="1" applyBorder="1" applyFont="1">
      <alignment horizontal="center" shrinkToFit="0" vertical="center" wrapText="1"/>
    </xf>
    <xf borderId="19" fillId="3" fontId="2" numFmtId="0" xfId="0" applyAlignment="1" applyBorder="1" applyFont="1">
      <alignment readingOrder="0" shrinkToFit="0" vertical="center" wrapText="1"/>
    </xf>
    <xf borderId="32" fillId="3" fontId="19" numFmtId="0" xfId="0" applyAlignment="1" applyBorder="1" applyFont="1">
      <alignment horizontal="left" readingOrder="0"/>
    </xf>
    <xf borderId="5" fillId="3" fontId="23" numFmtId="0" xfId="0" applyAlignment="1" applyBorder="1" applyFont="1">
      <alignment horizontal="center" vertical="center"/>
    </xf>
    <xf borderId="14" fillId="3" fontId="2" numFmtId="0" xfId="0" applyAlignment="1" applyBorder="1" applyFont="1">
      <alignment shrinkToFit="0" vertical="center" wrapText="1"/>
    </xf>
    <xf borderId="15" fillId="3" fontId="24" numFmtId="0" xfId="0" applyAlignment="1" applyBorder="1" applyFont="1">
      <alignment horizontal="center" shrinkToFit="0" vertical="center" wrapText="1"/>
    </xf>
    <xf borderId="26" fillId="4" fontId="25" numFmtId="0" xfId="0" applyAlignment="1" applyBorder="1" applyFill="1" applyFont="1">
      <alignment horizontal="center" readingOrder="0" vertical="center"/>
    </xf>
    <xf borderId="15" fillId="3" fontId="2" numFmtId="0" xfId="0" applyAlignment="1" applyBorder="1" applyFont="1">
      <alignment horizontal="center" vertical="center"/>
    </xf>
    <xf borderId="20" fillId="3" fontId="2" numFmtId="0" xfId="0" applyAlignment="1" applyBorder="1" applyFont="1">
      <alignment horizontal="left" readingOrder="0" shrinkToFit="0" vertical="center" wrapText="1"/>
    </xf>
    <xf borderId="33" fillId="3" fontId="2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left"/>
    </xf>
    <xf borderId="19" fillId="3" fontId="2" numFmtId="0" xfId="0" applyAlignment="1" applyBorder="1" applyFont="1">
      <alignment horizontal="left"/>
    </xf>
    <xf borderId="5" fillId="3" fontId="2" numFmtId="0" xfId="0" applyAlignment="1" applyBorder="1" applyFont="1">
      <alignment readingOrder="0" vertical="center"/>
    </xf>
    <xf borderId="33" fillId="3" fontId="2" numFmtId="0" xfId="0" applyAlignment="1" applyBorder="1" applyFont="1">
      <alignment horizontal="center" vertical="center"/>
    </xf>
    <xf borderId="22" fillId="3" fontId="26" numFmtId="0" xfId="0" applyAlignment="1" applyBorder="1" applyFont="1">
      <alignment horizontal="center" readingOrder="0" vertical="center"/>
    </xf>
    <xf borderId="15" fillId="3" fontId="2" numFmtId="0" xfId="0" applyAlignment="1" applyBorder="1" applyFont="1">
      <alignment horizontal="center" readingOrder="0" shrinkToFit="0" vertical="center" wrapText="1"/>
    </xf>
    <xf borderId="15" fillId="3" fontId="27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34" fillId="3" fontId="2" numFmtId="0" xfId="0" applyAlignment="1" applyBorder="1" applyFont="1">
      <alignment shrinkToFit="0" vertical="center" wrapText="1"/>
    </xf>
    <xf borderId="15" fillId="3" fontId="28" numFmtId="0" xfId="0" applyAlignment="1" applyBorder="1" applyFont="1">
      <alignment horizontal="center" shrinkToFit="0" vertical="center" wrapText="1"/>
    </xf>
    <xf borderId="35" fillId="3" fontId="2" numFmtId="0" xfId="0" applyAlignment="1" applyBorder="1" applyFont="1">
      <alignment shrinkToFit="0" vertical="center" wrapText="1"/>
    </xf>
    <xf borderId="22" fillId="3" fontId="29" numFmtId="0" xfId="0" applyAlignment="1" applyBorder="1" applyFont="1">
      <alignment horizontal="center" readingOrder="0" shrinkToFit="0" vertical="center" wrapText="1"/>
    </xf>
    <xf borderId="22" fillId="3" fontId="10" numFmtId="0" xfId="0" applyAlignment="1" applyBorder="1" applyFont="1">
      <alignment horizontal="center" readingOrder="0" shrinkToFit="0" vertical="center" wrapText="1"/>
    </xf>
    <xf borderId="24" fillId="3" fontId="2" numFmtId="0" xfId="0" applyAlignment="1" applyBorder="1" applyFont="1">
      <alignment horizontal="left" readingOrder="0" shrinkToFit="0" vertical="center" wrapText="1"/>
    </xf>
    <xf borderId="25" fillId="3" fontId="19" numFmtId="0" xfId="0" applyAlignment="1" applyBorder="1" applyFont="1">
      <alignment horizontal="left" readingOrder="0"/>
    </xf>
    <xf borderId="19" fillId="3" fontId="19" numFmtId="0" xfId="0" applyAlignment="1" applyBorder="1" applyFont="1">
      <alignment readingOrder="0" vertical="center"/>
    </xf>
    <xf borderId="0" fillId="3" fontId="2" numFmtId="0" xfId="0" applyAlignment="1" applyFont="1">
      <alignment horizontal="center" shrinkToFit="0" vertical="center" wrapText="1"/>
    </xf>
    <xf borderId="29" fillId="3" fontId="19" numFmtId="0" xfId="0" applyAlignment="1" applyBorder="1" applyFont="1">
      <alignment horizontal="left" readingOrder="0"/>
    </xf>
    <xf borderId="14" fillId="3" fontId="2" numFmtId="0" xfId="0" applyAlignment="1" applyBorder="1" applyFont="1">
      <alignment readingOrder="0" shrinkToFit="0" vertical="center" wrapText="1"/>
    </xf>
    <xf borderId="0" fillId="3" fontId="2" numFmtId="0" xfId="0" applyAlignment="1" applyFont="1">
      <alignment horizontal="center"/>
    </xf>
    <xf borderId="0" fillId="3" fontId="2" numFmtId="0" xfId="0" applyAlignment="1" applyFont="1">
      <alignment vertical="center"/>
    </xf>
    <xf borderId="0" fillId="3" fontId="2" numFmtId="0" xfId="0" applyFont="1"/>
    <xf borderId="0" fillId="3" fontId="2" numFmtId="0" xfId="0" applyAlignment="1" applyFont="1">
      <alignment horizontal="center"/>
    </xf>
    <xf borderId="0" fillId="0" fontId="2" numFmtId="0" xfId="0" applyFont="1"/>
    <xf borderId="9" fillId="5" fontId="30" numFmtId="0" xfId="0" applyAlignment="1" applyBorder="1" applyFill="1" applyFont="1">
      <alignment horizontal="center" readingOrder="0"/>
    </xf>
    <xf borderId="9" fillId="0" fontId="31" numFmtId="0" xfId="0" applyAlignment="1" applyBorder="1" applyFont="1">
      <alignment horizontal="center" readingOrder="0" vertical="center"/>
    </xf>
    <xf borderId="9" fillId="0" fontId="31" numFmtId="0" xfId="0" applyAlignment="1" applyBorder="1" applyFont="1">
      <alignment horizontal="center" vertical="center"/>
    </xf>
    <xf borderId="9" fillId="0" fontId="31" numFmtId="10" xfId="0" applyAlignment="1" applyBorder="1" applyFont="1" applyNumberFormat="1">
      <alignment horizontal="center" vertical="center"/>
    </xf>
    <xf borderId="9" fillId="0" fontId="31" numFmtId="0" xfId="0" applyAlignment="1" applyBorder="1" applyFont="1">
      <alignment horizontal="center" readingOrder="0"/>
    </xf>
    <xf borderId="9" fillId="0" fontId="31" numFmtId="10" xfId="0" applyAlignment="1" applyBorder="1" applyFont="1" applyNumberFormat="1">
      <alignment horizontal="center"/>
    </xf>
    <xf borderId="9" fillId="0" fontId="31" numFmtId="0" xfId="0" applyAlignment="1" applyBorder="1" applyFont="1">
      <alignment horizontal="center"/>
    </xf>
    <xf borderId="9" fillId="5" fontId="31" numFmtId="0" xfId="0" applyAlignment="1" applyBorder="1" applyFont="1">
      <alignment horizontal="center" readingOrder="0" vertical="center"/>
    </xf>
    <xf borderId="9" fillId="5" fontId="31" numFmtId="0" xfId="0" applyAlignment="1" applyBorder="1" applyFont="1">
      <alignment horizontal="center" vertical="center"/>
    </xf>
    <xf borderId="9" fillId="5" fontId="31" numFmtId="10" xfId="0" applyAlignment="1" applyBorder="1" applyFont="1" applyNumberFormat="1">
      <alignment horizontal="center" vertical="center"/>
    </xf>
    <xf borderId="9" fillId="5" fontId="31" numFmtId="0" xfId="0" applyAlignment="1" applyBorder="1" applyFont="1">
      <alignment horizontal="center" readingOrder="0"/>
    </xf>
    <xf borderId="9" fillId="5" fontId="31" numFmtId="0" xfId="0" applyAlignment="1" applyBorder="1" applyFont="1">
      <alignment horizontal="center"/>
    </xf>
    <xf borderId="9" fillId="5" fontId="31" numFmtId="10" xfId="0" applyAlignment="1" applyBorder="1" applyFont="1" applyNumberFormat="1">
      <alignment horizontal="center"/>
    </xf>
    <xf borderId="0" fillId="3" fontId="31" numFmtId="0" xfId="0" applyAlignment="1" applyFont="1">
      <alignment horizontal="center" readingOrder="0"/>
    </xf>
    <xf borderId="0" fillId="0" fontId="31" numFmtId="0" xfId="0" applyAlignment="1" applyFont="1">
      <alignment horizontal="center" vertical="center"/>
    </xf>
    <xf borderId="0" fillId="0" fontId="31" numFmtId="10" xfId="0" applyAlignment="1" applyFont="1" applyNumberFormat="1">
      <alignment horizontal="center"/>
    </xf>
    <xf borderId="0" fillId="0" fontId="3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elaine.araujo@ifsp.edu.br" TargetMode="External"/><Relationship Id="rId42" Type="http://schemas.openxmlformats.org/officeDocument/2006/relationships/hyperlink" Target="mailto:aranha@ifsp.edu.br" TargetMode="External"/><Relationship Id="rId41" Type="http://schemas.openxmlformats.org/officeDocument/2006/relationships/hyperlink" Target="http://lattes.cnpq.br/2896850888776619" TargetMode="External"/><Relationship Id="rId44" Type="http://schemas.openxmlformats.org/officeDocument/2006/relationships/hyperlink" Target="http://lattes.cnpq.br/9910460090402916" TargetMode="External"/><Relationship Id="rId43" Type="http://schemas.openxmlformats.org/officeDocument/2006/relationships/hyperlink" Target="http://buscatextual.cnpq.br/buscatextual/visualizacv.do?id=K4382536D6&amp;tokenCaptchar=03AGdBq26sTUsjlhPi046mvWy0TqLmsWZFcElzXnel_xS3yjFeRbhd0MyF-l2IFod6F4QOA8ERfWQ0cmrckeNhRW-jVN3mhrJbxHgQEdwz4b11Jv4EmCByn0K3apWGeSHhfGXvEAIeGfGJOcZr-njuvdjRoE2rzAPwbMgTiN6Ejd_FHDRrFp_etgBOdud3BjUWYxAwUptIHD2CitSucYuPdojimroKpbpMmCOU64geLbU4Ifeu9E42EfzHKLD9G6RhAlzAFH6_6xXtOjmJouMSeOsR92LUVT6OzhHSvbpIdjUGQFuaDXnqrqjGkFv5bzpSQnxUFGqdvhM6Gyg8Rx8ul_p1DamTvLmLibX1xBMI4u4Zwz2e3PQwUDNw48FiTCrp_g6iK5ZkV4OYoLsD782eXsLwkW_DUSGwWUzKk9c7-K2BnWPqk0AWGg6upfCSiX92MlNx5CE84a9TMnFKSR0xZNCG0tdeVV1IFQ" TargetMode="External"/><Relationship Id="rId46" Type="http://schemas.openxmlformats.org/officeDocument/2006/relationships/hyperlink" Target="mailto:enzo@ifsp.edu.br" TargetMode="External"/><Relationship Id="rId45" Type="http://schemas.openxmlformats.org/officeDocument/2006/relationships/hyperlink" Target="mailto:elifas_levi@ifsp.edu.br" TargetMode="External"/><Relationship Id="rId107" Type="http://schemas.openxmlformats.org/officeDocument/2006/relationships/hyperlink" Target="mailto:jeannasantoss@ifsp.edu.br" TargetMode="External"/><Relationship Id="rId106" Type="http://schemas.openxmlformats.org/officeDocument/2006/relationships/hyperlink" Target="http://lattes.cnpq.br/7258693512438054" TargetMode="External"/><Relationship Id="rId105" Type="http://schemas.openxmlformats.org/officeDocument/2006/relationships/hyperlink" Target="http://lattes.cnpq.br/5592805912091990" TargetMode="External"/><Relationship Id="rId104" Type="http://schemas.openxmlformats.org/officeDocument/2006/relationships/hyperlink" Target="mailto:salazar@ifsp.edu.br" TargetMode="External"/><Relationship Id="rId109" Type="http://schemas.openxmlformats.org/officeDocument/2006/relationships/hyperlink" Target="http://buscatextual.cnpq.br/buscatextual/visualizacv.do?id=K4207971A2" TargetMode="External"/><Relationship Id="rId108" Type="http://schemas.openxmlformats.org/officeDocument/2006/relationships/hyperlink" Target="http://buscatextual.cnpq.br/buscatextual/visualizacv.do?id=K4446709P5&amp;tokenCaptchar=03AGdBq27k_IYr8A2X6U2VgJ50SZjoOyp8_KNHJcpteTtorVSUyCecOsefhR75BOzvq9MkUINKbbf49CeeuvyNjEoqyw89RM4MA0rb1FelPKxh-o06zjChpFwZMzWzE4nY_W1J5l-4egtq_UzSZvWJx2sEu93F1ePZSXbeBiAVux16ho3CIU-dhIVeYJkBPLoDAxRKxOqCOhkCDOhOnLnO0yl1tI1o_KA1ioYuzssYh0_23eZFDBuS66Lcp4IynK_xT0QEJXFll3ChtqMI5Wh0EylVPyU3b_X1CAljPvyir5TPyLaQs-RvIsthfODT35Y06Vq2hU-0RNQ03C3AelnhNmBlOKJU4zrjQbO6otU6z42nabDfc_7ltPIDqksADn66xCZAhmnXGYv1PFVZOQHB1xvd9BygQeWN2JrfMPLJBoSe2v7PQdUWT0cbAUTZsZZpBUNJnGlJNE9XNDb_Y0OWJle6t_JBY3sSuA" TargetMode="External"/><Relationship Id="rId48" Type="http://schemas.openxmlformats.org/officeDocument/2006/relationships/hyperlink" Target="http://lattes.cnpq.br/9354778798444061" TargetMode="External"/><Relationship Id="rId47" Type="http://schemas.openxmlformats.org/officeDocument/2006/relationships/hyperlink" Target="http://buscatextual.cnpq.br/buscatextual/visualizacv.do?id=K4408436U4&amp;tokenCaptchar=03AGdBq260IXejWyES61AeFQPGCtWlWr8DMP2y-LuLtuP1bZwZQWBOvghO9F4Wunviu59Fw1mDd1d_JoC1gJliO4kAFkj43qCfKh3gcZmdGOf7XNDpvN67C0uaqAT2CqnFGO6v-8PsExwOHYkrfNPWzFIqDflWBQENyHMiz2AD9bb9bzcw4-LxSmELTpIERcHT1FcXQ_m8f8HJ1NL1T5jUy7vAiVut--2MauFRFTYvvIKj7GmWfxuWt-ZvHH_Cb5Td6aYH9vR8CrzDdtzrBBqWsYvOJu7BbQgiwKThiadidUtJcOXSZfs-A9fZOpdfAttDLT9_Zm48Q6sB0469dqjJottHJMEDVRwNqi9JwQ5RfRJ8LTXG400VSC9knkzyHuLAf9vGZMoIrpYHVg5xFz57ollC1jQ5Gd4j8mw2QXW26O9OzMtDVunhrw76w3JqoNq5oS0irt8QuNXoRvcgW_m4R_bU5wrrEI_vjg" TargetMode="External"/><Relationship Id="rId49" Type="http://schemas.openxmlformats.org/officeDocument/2006/relationships/hyperlink" Target="mailto:ferdinando.calle@ifsp.edu.br" TargetMode="External"/><Relationship Id="rId103" Type="http://schemas.openxmlformats.org/officeDocument/2006/relationships/hyperlink" Target="http://lattes.cnpq.br/0156817167009603" TargetMode="External"/><Relationship Id="rId102" Type="http://schemas.openxmlformats.org/officeDocument/2006/relationships/hyperlink" Target="mailto:marcos.doro@ifsp.edu.br" TargetMode="External"/><Relationship Id="rId101" Type="http://schemas.openxmlformats.org/officeDocument/2006/relationships/hyperlink" Target="http://lattes.cnpq.br/5368368699798711" TargetMode="External"/><Relationship Id="rId100" Type="http://schemas.openxmlformats.org/officeDocument/2006/relationships/hyperlink" Target="mailto:mmarques@ifsp.edu.br" TargetMode="External"/><Relationship Id="rId31" Type="http://schemas.openxmlformats.org/officeDocument/2006/relationships/hyperlink" Target="mailto:claudia.carvalho@ifsp.edu.br" TargetMode="External"/><Relationship Id="rId30" Type="http://schemas.openxmlformats.org/officeDocument/2006/relationships/hyperlink" Target="http://lattes.cnpq.br/7353087112070433" TargetMode="External"/><Relationship Id="rId33" Type="http://schemas.openxmlformats.org/officeDocument/2006/relationships/hyperlink" Target="http://lattes.cnpq.br/5394591294622968" TargetMode="External"/><Relationship Id="rId32" Type="http://schemas.openxmlformats.org/officeDocument/2006/relationships/hyperlink" Target="http://lattes.cnpq.br/7955383731847589" TargetMode="External"/><Relationship Id="rId35" Type="http://schemas.openxmlformats.org/officeDocument/2006/relationships/hyperlink" Target="http://lattes.cnpq.br/6072591518060376" TargetMode="External"/><Relationship Id="rId34" Type="http://schemas.openxmlformats.org/officeDocument/2006/relationships/hyperlink" Target="http://lattes.cnpq.br/2704540669332324" TargetMode="External"/><Relationship Id="rId37" Type="http://schemas.openxmlformats.org/officeDocument/2006/relationships/hyperlink" Target="http://lattes.cnpq.br/9196376338221462" TargetMode="External"/><Relationship Id="rId36" Type="http://schemas.openxmlformats.org/officeDocument/2006/relationships/hyperlink" Target="mailto:edmilson.braga@ifsp.edu.br" TargetMode="External"/><Relationship Id="rId39" Type="http://schemas.openxmlformats.org/officeDocument/2006/relationships/hyperlink" Target="http://lattes.cnpq.br/3332088975086202" TargetMode="External"/><Relationship Id="rId38" Type="http://schemas.openxmlformats.org/officeDocument/2006/relationships/hyperlink" Target="mailto:ehgomes@ifsp.edu.br" TargetMode="External"/><Relationship Id="rId20" Type="http://schemas.openxmlformats.org/officeDocument/2006/relationships/hyperlink" Target="mailto:adecarvalhojr@ifsp.edu.br" TargetMode="External"/><Relationship Id="rId22" Type="http://schemas.openxmlformats.org/officeDocument/2006/relationships/hyperlink" Target="mailto:amodesto@ifsp.edu.br" TargetMode="External"/><Relationship Id="rId21" Type="http://schemas.openxmlformats.org/officeDocument/2006/relationships/hyperlink" Target="http://lattes.cnpq.br/4447935676139776" TargetMode="External"/><Relationship Id="rId24" Type="http://schemas.openxmlformats.org/officeDocument/2006/relationships/hyperlink" Target="mailto:barreira@ifsp.edu.br" TargetMode="External"/><Relationship Id="rId23" Type="http://schemas.openxmlformats.org/officeDocument/2006/relationships/hyperlink" Target="http://lattes.cnpq.br/8946741255015096" TargetMode="External"/><Relationship Id="rId129" Type="http://schemas.openxmlformats.org/officeDocument/2006/relationships/hyperlink" Target="http://buscatextual.cnpq.br/buscatextual/visualizacv.do?id=K8540260T8&amp;tokenCaptchar=03AGdBq26x0TyQ3oL8r9ONNNRjbQLJx02SV9JRrADRUMLMcF-9E7WM5cZXyuMYXhJDiydaz1ArvCMbBgKrpfdQ72Tn7gZfocCwSm3PM9uPchH71vgMKILoewmdIzQw2StvNLRZU_IfnUwLx8OeUorZzBoc8xT5GmjBUreuDITIa7AhJTB_ucf9oMd-tbvE39QQkYHFOBAH-XNSew5o2QwfdZ5SGdczNBu006O6ff8xTB4iiYuwy7M-C4A85ND-1Pui6ucdbJzrCxGoeBdE_twffN2no2n9CemhzyGNPTOlzTlVRGgPHwlnnyc8L01wsVCDNYdXSJxAYWFmwut3ggXTwc5oz5hSiBHQc1F14ArrUMbDFlbX_D_cFzRxSqsV9sedFrNBdUxGkIX9pNSpsyBdrqWPlF0SdAm4PurGZxQf8M3RMkvggErI0FKdhJmOZbzBZNoXY5s5YTTLUGe0QOPxeJ7Olt3KJrDWSw" TargetMode="External"/><Relationship Id="rId128" Type="http://schemas.openxmlformats.org/officeDocument/2006/relationships/hyperlink" Target="mailto:paulo.perri@ifsp.edu.br" TargetMode="External"/><Relationship Id="rId127" Type="http://schemas.openxmlformats.org/officeDocument/2006/relationships/hyperlink" Target="http://lattes.cnpq.br/6897242450860951" TargetMode="External"/><Relationship Id="rId126" Type="http://schemas.openxmlformats.org/officeDocument/2006/relationships/hyperlink" Target="http://lattes.cnpq.br/3278209859653249" TargetMode="External"/><Relationship Id="rId26" Type="http://schemas.openxmlformats.org/officeDocument/2006/relationships/hyperlink" Target="mailto:coletto@ifsp.edu.br" TargetMode="External"/><Relationship Id="rId121" Type="http://schemas.openxmlformats.org/officeDocument/2006/relationships/hyperlink" Target="http://lattes.cnpq.br/5106317322513827" TargetMode="External"/><Relationship Id="rId25" Type="http://schemas.openxmlformats.org/officeDocument/2006/relationships/hyperlink" Target="http://lattes.cnpq.br/2606617037551270" TargetMode="External"/><Relationship Id="rId120" Type="http://schemas.openxmlformats.org/officeDocument/2006/relationships/hyperlink" Target="mailto:nelsonjr@ifsp.edu.br" TargetMode="External"/><Relationship Id="rId28" Type="http://schemas.openxmlformats.org/officeDocument/2006/relationships/hyperlink" Target="mailto:csoler@ifsp.edu.br" TargetMode="External"/><Relationship Id="rId27" Type="http://schemas.openxmlformats.org/officeDocument/2006/relationships/hyperlink" Target="http://buscatextual.cnpq.br/buscatextual/visualizacv.do?id=K4131031A3" TargetMode="External"/><Relationship Id="rId125" Type="http://schemas.openxmlformats.org/officeDocument/2006/relationships/hyperlink" Target="http://lattes.cnpq.br/8088461024749919" TargetMode="External"/><Relationship Id="rId29" Type="http://schemas.openxmlformats.org/officeDocument/2006/relationships/hyperlink" Target="http://buscatextual.cnpq.br/buscatextual/visualizacv.do?id=K4780889T4&amp;tokenCaptchar=03AGdBq26-W7l5MMnGy0vXtSUQMVEVz3vFRD3UBsCAXN97DNiBCLCueUzH2T_sTaFKlxqdv8MT4wTO80e9UOLEBM3BSWwqghoyeT2D-joNTrSZvwjh3JvD2YkrI8mJhoe14IZr5GdZ6wQdLdCoFdHsXyf_-1DZ41VNDcOzOc6AQFtI3GYAMzNPEScfRWDGH04sqa_oSD5jV5R8AdE_SVOAdKE7oKJx2YKLHzC87AaaOG8PzjkEfmgVg9Y-5CWq0eHcT6VgJ2bVAzrD9p_eqgleaqBClBGy0PcIQlCtTjppJ7p7WOKjToe1F8H2bDlJywz7HbS2LE-GB98ifIVW3RUsMeeIS4efZoidguDLOorENiIyxjcpmbSznKawDVXsIk7DMpPX2BjW3hgZjvPd5yOfhiKneuQwhfLSFrp86POaMuiebLlm0UPxqtWE38fSqMzbAQcocimX0zvWrXIsyD1jKCSDE_UhnevTAQ" TargetMode="External"/><Relationship Id="rId124" Type="http://schemas.openxmlformats.org/officeDocument/2006/relationships/hyperlink" Target="mailto:paulobueno@ifsp.edu.br" TargetMode="External"/><Relationship Id="rId123" Type="http://schemas.openxmlformats.org/officeDocument/2006/relationships/hyperlink" Target="http://lattes.cnpq.br/9071463080240819" TargetMode="External"/><Relationship Id="rId122" Type="http://schemas.openxmlformats.org/officeDocument/2006/relationships/hyperlink" Target="http://lattes.cnpq.br/2339710145228308" TargetMode="External"/><Relationship Id="rId95" Type="http://schemas.openxmlformats.org/officeDocument/2006/relationships/hyperlink" Target="http://lattes.cnpq.br/0137204948070733" TargetMode="External"/><Relationship Id="rId94" Type="http://schemas.openxmlformats.org/officeDocument/2006/relationships/hyperlink" Target="http://lattes.cnpq.br/0917092323738457" TargetMode="External"/><Relationship Id="rId97" Type="http://schemas.openxmlformats.org/officeDocument/2006/relationships/hyperlink" Target="http://lattes.cnpq.br/2001123342777874" TargetMode="External"/><Relationship Id="rId96" Type="http://schemas.openxmlformats.org/officeDocument/2006/relationships/hyperlink" Target="mailto:mcoelho@ifsp.edu.br" TargetMode="External"/><Relationship Id="rId11" Type="http://schemas.openxmlformats.org/officeDocument/2006/relationships/hyperlink" Target="http://lattes.cnpq.br/0322712366911621" TargetMode="External"/><Relationship Id="rId99" Type="http://schemas.openxmlformats.org/officeDocument/2006/relationships/hyperlink" Target="http://lattes.cnpq.br/8165616867408082" TargetMode="External"/><Relationship Id="rId10" Type="http://schemas.openxmlformats.org/officeDocument/2006/relationships/hyperlink" Target="mailto:amauridias@ifsp.edu.br" TargetMode="External"/><Relationship Id="rId98" Type="http://schemas.openxmlformats.org/officeDocument/2006/relationships/hyperlink" Target="mailto:marcielss@ifsp.edu.br" TargetMode="External"/><Relationship Id="rId13" Type="http://schemas.openxmlformats.org/officeDocument/2006/relationships/hyperlink" Target="http://lattes.cnpq.br/8390762794908585" TargetMode="External"/><Relationship Id="rId12" Type="http://schemas.openxmlformats.org/officeDocument/2006/relationships/hyperlink" Target="mailto:anaelisaferreira@ifsp.edu.br" TargetMode="External"/><Relationship Id="rId91" Type="http://schemas.openxmlformats.org/officeDocument/2006/relationships/hyperlink" Target="http://lattes.cnpq.br/6003990795921040" TargetMode="External"/><Relationship Id="rId90" Type="http://schemas.openxmlformats.org/officeDocument/2006/relationships/hyperlink" Target="mailto:luiz.kiehn@ifsp.edu.br" TargetMode="External"/><Relationship Id="rId93" Type="http://schemas.openxmlformats.org/officeDocument/2006/relationships/hyperlink" Target="mailto:marcelo.macchi@ifsp.edu.br" TargetMode="External"/><Relationship Id="rId92" Type="http://schemas.openxmlformats.org/officeDocument/2006/relationships/hyperlink" Target="http://lattes.cnpq.br/9876336514531357" TargetMode="External"/><Relationship Id="rId118" Type="http://schemas.openxmlformats.org/officeDocument/2006/relationships/hyperlink" Target="mailto:nelsonpaz@ifsp.edu.br" TargetMode="External"/><Relationship Id="rId117" Type="http://schemas.openxmlformats.org/officeDocument/2006/relationships/hyperlink" Target="http://lattes.cnpq.br/3972633128640965" TargetMode="External"/><Relationship Id="rId116" Type="http://schemas.openxmlformats.org/officeDocument/2006/relationships/hyperlink" Target="mailto:natalia.salan@ifsp.edu.br" TargetMode="External"/><Relationship Id="rId115" Type="http://schemas.openxmlformats.org/officeDocument/2006/relationships/hyperlink" Target="http://buscatextual.cnpq.br/buscatextual/visualizacv.do?id=K4258428H4" TargetMode="External"/><Relationship Id="rId119" Type="http://schemas.openxmlformats.org/officeDocument/2006/relationships/hyperlink" Target="http://lattes.cnpq.br/9662875113651503" TargetMode="External"/><Relationship Id="rId15" Type="http://schemas.openxmlformats.org/officeDocument/2006/relationships/hyperlink" Target="mailto:cesar.rodrigues@ifsp.edu.br" TargetMode="External"/><Relationship Id="rId110" Type="http://schemas.openxmlformats.org/officeDocument/2006/relationships/hyperlink" Target="mailto:martagarcia@ifsp.edu.br" TargetMode="External"/><Relationship Id="rId14" Type="http://schemas.openxmlformats.org/officeDocument/2006/relationships/hyperlink" Target="http://lattes.cnpq.br/5364387869010471" TargetMode="External"/><Relationship Id="rId17" Type="http://schemas.openxmlformats.org/officeDocument/2006/relationships/hyperlink" Target="http://buscatextual.cnpq.br/buscatextual/visualizacv.do?id=K4737658J8" TargetMode="External"/><Relationship Id="rId16" Type="http://schemas.openxmlformats.org/officeDocument/2006/relationships/hyperlink" Target="http://lattes.cnpq.br/1088212695829506" TargetMode="External"/><Relationship Id="rId19" Type="http://schemas.openxmlformats.org/officeDocument/2006/relationships/hyperlink" Target="http://lattes.cnpq.br/2801594081219451" TargetMode="External"/><Relationship Id="rId114" Type="http://schemas.openxmlformats.org/officeDocument/2006/relationships/hyperlink" Target="mailto:asenjo@ifsp.edu.br" TargetMode="External"/><Relationship Id="rId18" Type="http://schemas.openxmlformats.org/officeDocument/2006/relationships/hyperlink" Target="mailto:aristidesfaria@ifsp.edu.br" TargetMode="External"/><Relationship Id="rId113" Type="http://schemas.openxmlformats.org/officeDocument/2006/relationships/hyperlink" Target="http://lattes.cnpq.br/3083750278254592" TargetMode="External"/><Relationship Id="rId112" Type="http://schemas.openxmlformats.org/officeDocument/2006/relationships/hyperlink" Target="mailto:matilde.perez.quintairos@ifsp.edu.br" TargetMode="External"/><Relationship Id="rId111" Type="http://schemas.openxmlformats.org/officeDocument/2006/relationships/hyperlink" Target="http://lattes.cnpq.br/7569291799926573" TargetMode="External"/><Relationship Id="rId84" Type="http://schemas.openxmlformats.org/officeDocument/2006/relationships/hyperlink" Target="http://lattes.cnpq.br/2905730630984653" TargetMode="External"/><Relationship Id="rId83" Type="http://schemas.openxmlformats.org/officeDocument/2006/relationships/hyperlink" Target="http://buscatextual.cnpq.br/buscatextual/visualizacv.do?id=K4757449D8&amp;tokenCaptchar=03AGdBq27rFcEwBZb3Z1b4C_o_3GqZxNBUOR5QbRDwxjVF_Xbe6N1KNw0txWMXQTZAFOQyGq4ASsbVsDp_zvDVcVD15zx26VlIk7lHP510hhe1Vrv8JHvJYBavqUjbm5wPhMT2--ZC1vM0MVATK3AnoSqqqsQhLqV1iTQAfrfeUr2h9Ie4eBBAgIF5GLx2EMQoigEKax9OpooOflVaH8jYEajM7AOfutlknSsZcCkxJjXASc9pSHL-Wh78eMx33Xsgjm4cANYtqoITFwi4PqBErggAqJvUjP0_j4D2QtCdOicTiRelvgLAMKGmMdCcOrMATVmIm34QA34SF0cbf2OVha6QjAYlatf76h03mt-IZpTsWaf7Nj_SJL95Z4XqA9QwlRXwOIis9zcYyLBVajRCJj2E5VB_eeSgOi8XHGp_1j73Mml5g1iwe2FOPfv5doRsSsU2VaEzT56WgilbHca8hUrHRRsBRXIZPg" TargetMode="External"/><Relationship Id="rId86" Type="http://schemas.openxmlformats.org/officeDocument/2006/relationships/hyperlink" Target="http://lattes.cnpq.br/1598677264477335" TargetMode="External"/><Relationship Id="rId85" Type="http://schemas.openxmlformats.org/officeDocument/2006/relationships/hyperlink" Target="mailto:leticia.giordano@ifsp.edu.br" TargetMode="External"/><Relationship Id="rId88" Type="http://schemas.openxmlformats.org/officeDocument/2006/relationships/hyperlink" Target="http://lattes.cnpq.br/5726047707894583" TargetMode="External"/><Relationship Id="rId150" Type="http://schemas.openxmlformats.org/officeDocument/2006/relationships/hyperlink" Target="mailto:sueli.bio@ifsp.edu.br" TargetMode="External"/><Relationship Id="rId87" Type="http://schemas.openxmlformats.org/officeDocument/2006/relationships/hyperlink" Target="http://buscatextual.cnpq.br/buscatextual/visualizacv.do?id=K4334222E2&amp;tokenCaptchar=03AGdBq27B4Pqks75inrWjCF4Snk2IBOjMZ1tAhl-DuUsfqjQDgbWq5ss-0Ii6bgtHa7RNfAexfImyc1l87692fyfAlP9hmXoAVJ87ADXxD8QCzoSOj3GlR1DW-kRChwc4nTQ6v11RVkk36vTqTZVObRbLrFKmfBJJJSgkcJq_JptR9i5-HXat-CUlUp433ma8EjnXJ7ODzkQ46MWdOl2X87lm5roG18eu_ni0UQPrXmcb83FKO5UIt75WH9HS78U5ViB4homuP76QdZeZ8G0MxRVM9R1vXeCFIcuj5nSsTYpH78eS2_sVB2dY0xQoyoFwmYwiZD6BxQkniTmk5wNoRcarcUKUU4ZCG7UBx6W8kYMCJ6qbdgPN-tIUGHxHTALgsb_xXGwxSZJsKsiqXAHhxB9o-fCEcrAGW8_3sxtE4foKytYTp-valTPlBLUxDXAHhrL5ALMoWhRlrt3Uw6p8MBUfaJZVz4tdBg" TargetMode="External"/><Relationship Id="rId89" Type="http://schemas.openxmlformats.org/officeDocument/2006/relationships/hyperlink" Target="http://lattes.cnpq.br/4498824812684000" TargetMode="External"/><Relationship Id="rId80" Type="http://schemas.openxmlformats.org/officeDocument/2006/relationships/hyperlink" Target="http://lattes.cnpq.br/5063104922565921" TargetMode="External"/><Relationship Id="rId82" Type="http://schemas.openxmlformats.org/officeDocument/2006/relationships/hyperlink" Target="mailto:campelo@ifsp.edu.br" TargetMode="External"/><Relationship Id="rId81" Type="http://schemas.openxmlformats.org/officeDocument/2006/relationships/hyperlink" Target="http://buscatextual.cnpq.br/buscatextual/visualizacv.do?id=K4742600U6" TargetMode="External"/><Relationship Id="rId1" Type="http://schemas.openxmlformats.org/officeDocument/2006/relationships/hyperlink" Target="http://buscatextual.cnpq.br/buscatextual/visualizacv.do?id=K8382098Z1" TargetMode="External"/><Relationship Id="rId2" Type="http://schemas.openxmlformats.org/officeDocument/2006/relationships/hyperlink" Target="mailto:adriana.mendonca@ifsp.edu.br" TargetMode="External"/><Relationship Id="rId3" Type="http://schemas.openxmlformats.org/officeDocument/2006/relationships/hyperlink" Target="http://lattes.cnpq.br/3443182824878866" TargetMode="External"/><Relationship Id="rId149" Type="http://schemas.openxmlformats.org/officeDocument/2006/relationships/hyperlink" Target="http://lattes.cnpq.br/2539410198240163" TargetMode="External"/><Relationship Id="rId4" Type="http://schemas.openxmlformats.org/officeDocument/2006/relationships/hyperlink" Target="mailto:alberto@ifsp.edu.br" TargetMode="External"/><Relationship Id="rId148" Type="http://schemas.openxmlformats.org/officeDocument/2006/relationships/hyperlink" Target="mailto:solange.silva@ifsp.edu.br" TargetMode="External"/><Relationship Id="rId9" Type="http://schemas.openxmlformats.org/officeDocument/2006/relationships/hyperlink" Target="http://lattes.cnpq.br/4633002288019460" TargetMode="External"/><Relationship Id="rId143" Type="http://schemas.openxmlformats.org/officeDocument/2006/relationships/hyperlink" Target="http://lattes.cnpq.br/3905473334894442" TargetMode="External"/><Relationship Id="rId142" Type="http://schemas.openxmlformats.org/officeDocument/2006/relationships/hyperlink" Target="mailto:rubens.sa@ifsp.edu.br" TargetMode="External"/><Relationship Id="rId141" Type="http://schemas.openxmlformats.org/officeDocument/2006/relationships/hyperlink" Target="http://lattes.cnpq.br/5220477053711608" TargetMode="External"/><Relationship Id="rId140" Type="http://schemas.openxmlformats.org/officeDocument/2006/relationships/hyperlink" Target="mailto:rosana.sorbille@ifsp.edu.br" TargetMode="External"/><Relationship Id="rId5" Type="http://schemas.openxmlformats.org/officeDocument/2006/relationships/hyperlink" Target="http://lattes.cnpq.br/5647518666766098" TargetMode="External"/><Relationship Id="rId147" Type="http://schemas.openxmlformats.org/officeDocument/2006/relationships/hyperlink" Target="http://buscatextual.cnpq.br/buscatextual/visualizacv.do?id=K4735270U8" TargetMode="External"/><Relationship Id="rId6" Type="http://schemas.openxmlformats.org/officeDocument/2006/relationships/hyperlink" Target="mailto:aab@ifsp.edu.br" TargetMode="External"/><Relationship Id="rId146" Type="http://schemas.openxmlformats.org/officeDocument/2006/relationships/hyperlink" Target="http://lattes.cnpq.br/4877420955045703" TargetMode="External"/><Relationship Id="rId7" Type="http://schemas.openxmlformats.org/officeDocument/2006/relationships/hyperlink" Target="http://lattes.cnpq.br/2351905355694162" TargetMode="External"/><Relationship Id="rId145" Type="http://schemas.openxmlformats.org/officeDocument/2006/relationships/hyperlink" Target="mailto:sergioarnaud@ifsp.edu.br" TargetMode="External"/><Relationship Id="rId8" Type="http://schemas.openxmlformats.org/officeDocument/2006/relationships/hyperlink" Target="http://lattes.cnpq.br/8589666863624180" TargetMode="External"/><Relationship Id="rId144" Type="http://schemas.openxmlformats.org/officeDocument/2006/relationships/hyperlink" Target="http://lattes.cnpq.br/0461164325523457" TargetMode="External"/><Relationship Id="rId73" Type="http://schemas.openxmlformats.org/officeDocument/2006/relationships/hyperlink" Target="mailto:juliocesarzandonadi@ifsp.edu.br" TargetMode="External"/><Relationship Id="rId72" Type="http://schemas.openxmlformats.org/officeDocument/2006/relationships/hyperlink" Target="http://lattes.cnpq.br/8325100287493334" TargetMode="External"/><Relationship Id="rId75" Type="http://schemas.openxmlformats.org/officeDocument/2006/relationships/hyperlink" Target="mailto:karina.souza@ifsp.edu.br" TargetMode="External"/><Relationship Id="rId74" Type="http://schemas.openxmlformats.org/officeDocument/2006/relationships/hyperlink" Target="http://lattes.cnpq.br/8010842851679096" TargetMode="External"/><Relationship Id="rId77" Type="http://schemas.openxmlformats.org/officeDocument/2006/relationships/hyperlink" Target="mailto:katya@ifsp.edu.br" TargetMode="External"/><Relationship Id="rId76" Type="http://schemas.openxmlformats.org/officeDocument/2006/relationships/hyperlink" Target="http://lattes.cnpq.br/6649796144129435" TargetMode="External"/><Relationship Id="rId79" Type="http://schemas.openxmlformats.org/officeDocument/2006/relationships/hyperlink" Target="mailto:khalil.salem@ifsp.edu.br" TargetMode="External"/><Relationship Id="rId78" Type="http://schemas.openxmlformats.org/officeDocument/2006/relationships/hyperlink" Target="http://lattes.cnpq.br/3548835386841697" TargetMode="External"/><Relationship Id="rId71" Type="http://schemas.openxmlformats.org/officeDocument/2006/relationships/hyperlink" Target="mailto:jamielli.pereira@ifsp.edu.br" TargetMode="External"/><Relationship Id="rId70" Type="http://schemas.openxmlformats.org/officeDocument/2006/relationships/hyperlink" Target="http://lattes.cnpq.br/2961411469597684" TargetMode="External"/><Relationship Id="rId139" Type="http://schemas.openxmlformats.org/officeDocument/2006/relationships/hyperlink" Target="http://lattes.cnpq.br/9782304564156617" TargetMode="External"/><Relationship Id="rId138" Type="http://schemas.openxmlformats.org/officeDocument/2006/relationships/hyperlink" Target="mailto:antunes.rob@ifsp.edu.br" TargetMode="External"/><Relationship Id="rId137" Type="http://schemas.openxmlformats.org/officeDocument/2006/relationships/hyperlink" Target="http://buscatextual.cnpq.br/buscatextual/visualizacv.do?id=K4711907P4" TargetMode="External"/><Relationship Id="rId132" Type="http://schemas.openxmlformats.org/officeDocument/2006/relationships/hyperlink" Target="http://lattes.cnpq.br/8596331354732612" TargetMode="External"/><Relationship Id="rId131" Type="http://schemas.openxmlformats.org/officeDocument/2006/relationships/hyperlink" Target="mailto:stoppa@ifsp.edu.br" TargetMode="External"/><Relationship Id="rId130" Type="http://schemas.openxmlformats.org/officeDocument/2006/relationships/hyperlink" Target="http://lattes.cnpq.br/4638688296783606" TargetMode="External"/><Relationship Id="rId136" Type="http://schemas.openxmlformats.org/officeDocument/2006/relationships/hyperlink" Target="mailto:ritademarchi@ifsp.edu.br" TargetMode="External"/><Relationship Id="rId135" Type="http://schemas.openxmlformats.org/officeDocument/2006/relationships/hyperlink" Target="http://lattes.cnpq.br/4770016544453387" TargetMode="External"/><Relationship Id="rId134" Type="http://schemas.openxmlformats.org/officeDocument/2006/relationships/hyperlink" Target="http://lattes.cnpq.br/8499007638180773" TargetMode="External"/><Relationship Id="rId133" Type="http://schemas.openxmlformats.org/officeDocument/2006/relationships/hyperlink" Target="http://lattes.cnpq.br/1107888000348488" TargetMode="External"/><Relationship Id="rId62" Type="http://schemas.openxmlformats.org/officeDocument/2006/relationships/hyperlink" Target="http://buscatextual.cnpq.br/buscatextual/visualizacv.do?id=K4121283Z4&amp;tokenCaptchar=03AGdBq25P2Kwx9P_1E8qEvxc6e-KEKCW3aRvnt2bFGEiW7JjJjd3LWWdA_ZcRKBMufO-rlGXMjRRWetk4A_YCmcWDLOvA6ONVbpDzO7bQcYib4O9C6WtPQ5KoHdUFtqUImQbxj0cUUwx0A6tD6pIC2VzZc8Boav5CA0sZ0FOdVbMsD_yFXjtcBo5Fh4DGMhJnlTxMaZSXiTRG44E0zkvD3DgQevfH4TB7uh4nssxbb3QUbDwhIrTMHw9yOPAaxl2YP-xIyNFTWqbpCLnzklbQvhLrOily0gO8K6UkCeJgl2-d36faG8zkA8637zY6WmaBgNJ48SV8EZK4mA1FpKB-ne9a-Rc4Ws8dLdGmNJ30JsxYwQfhwrEB2VEz12Ae3J70Lo1YE99pTvAXAyWPz8rvDo0TDaZhe8hIKuQ7cLd5hS0TqmBNnc5-AFfUcySQS6VOpKRyEzBW8LroH6xC7ej55PxWELFKG-xjGw" TargetMode="External"/><Relationship Id="rId61" Type="http://schemas.openxmlformats.org/officeDocument/2006/relationships/hyperlink" Target="http://lattes.cnpq.br/1760650391519685" TargetMode="External"/><Relationship Id="rId64" Type="http://schemas.openxmlformats.org/officeDocument/2006/relationships/hyperlink" Target="mailto:humberto@ifsp.edu.br" TargetMode="External"/><Relationship Id="rId63" Type="http://schemas.openxmlformats.org/officeDocument/2006/relationships/hyperlink" Target="http://lattes.cnpq.br/0366317443486562" TargetMode="External"/><Relationship Id="rId66" Type="http://schemas.openxmlformats.org/officeDocument/2006/relationships/hyperlink" Target="http://lattes.cnpq.br/5483359917410124" TargetMode="External"/><Relationship Id="rId65" Type="http://schemas.openxmlformats.org/officeDocument/2006/relationships/hyperlink" Target="http://lattes.cnpq.br/7188455863790975" TargetMode="External"/><Relationship Id="rId68" Type="http://schemas.openxmlformats.org/officeDocument/2006/relationships/hyperlink" Target="http://lattes.cnpq.br/6598661324633248" TargetMode="External"/><Relationship Id="rId67" Type="http://schemas.openxmlformats.org/officeDocument/2006/relationships/hyperlink" Target="mailto:ivaldo.marques@ifsp.edu.br" TargetMode="External"/><Relationship Id="rId60" Type="http://schemas.openxmlformats.org/officeDocument/2006/relationships/hyperlink" Target="http://lattes.cnpq.br/3260574678457547" TargetMode="External"/><Relationship Id="rId69" Type="http://schemas.openxmlformats.org/officeDocument/2006/relationships/hyperlink" Target="mailto:jairobarbosa@ifsp.edu.br" TargetMode="External"/><Relationship Id="rId163" Type="http://schemas.openxmlformats.org/officeDocument/2006/relationships/drawing" Target="../drawings/drawing1.xml"/><Relationship Id="rId162" Type="http://schemas.openxmlformats.org/officeDocument/2006/relationships/hyperlink" Target="mailto:wellingtontm@ifsp.edu.br" TargetMode="External"/><Relationship Id="rId51" Type="http://schemas.openxmlformats.org/officeDocument/2006/relationships/hyperlink" Target="http://buscatextual.cnpq.br/buscatextual/visualizacv.do?id=K4866451H6" TargetMode="External"/><Relationship Id="rId50" Type="http://schemas.openxmlformats.org/officeDocument/2006/relationships/hyperlink" Target="http://lattes.cnpq.br/4935825920838794" TargetMode="External"/><Relationship Id="rId53" Type="http://schemas.openxmlformats.org/officeDocument/2006/relationships/hyperlink" Target="http://lattes.cnpq.br/1016795045258728" TargetMode="External"/><Relationship Id="rId52" Type="http://schemas.openxmlformats.org/officeDocument/2006/relationships/hyperlink" Target="mailto:fernando.dias@ifsp.edu.br" TargetMode="External"/><Relationship Id="rId55" Type="http://schemas.openxmlformats.org/officeDocument/2006/relationships/hyperlink" Target="http://lattes.cnpq.br/4935340781738514" TargetMode="External"/><Relationship Id="rId161" Type="http://schemas.openxmlformats.org/officeDocument/2006/relationships/hyperlink" Target="http://lattes.cnpq.br/3915354229971189" TargetMode="External"/><Relationship Id="rId54" Type="http://schemas.openxmlformats.org/officeDocument/2006/relationships/hyperlink" Target="mailto:fernando_rsantos@ifsp.edu.br" TargetMode="External"/><Relationship Id="rId160" Type="http://schemas.openxmlformats.org/officeDocument/2006/relationships/hyperlink" Target="mailto:professorwramos@ifsp.edu.br" TargetMode="External"/><Relationship Id="rId57" Type="http://schemas.openxmlformats.org/officeDocument/2006/relationships/hyperlink" Target="http://buscatextual.cnpq.br/buscatextual/visualizacv.do?id=K4439212T4" TargetMode="External"/><Relationship Id="rId56" Type="http://schemas.openxmlformats.org/officeDocument/2006/relationships/hyperlink" Target="mailto:filipe.magalhaesx@ifsp.edu.br" TargetMode="External"/><Relationship Id="rId159" Type="http://schemas.openxmlformats.org/officeDocument/2006/relationships/hyperlink" Target="http://lattes.cnpq.br/9998871144343150" TargetMode="External"/><Relationship Id="rId59" Type="http://schemas.openxmlformats.org/officeDocument/2006/relationships/hyperlink" Target="http://lattes.cnpq.br/4507944299087617" TargetMode="External"/><Relationship Id="rId154" Type="http://schemas.openxmlformats.org/officeDocument/2006/relationships/hyperlink" Target="http://lattes.cnpq.br/8520915740121883" TargetMode="External"/><Relationship Id="rId58" Type="http://schemas.openxmlformats.org/officeDocument/2006/relationships/hyperlink" Target="mailto:flavia.daylane@ifsp.edu.br" TargetMode="External"/><Relationship Id="rId153" Type="http://schemas.openxmlformats.org/officeDocument/2006/relationships/hyperlink" Target="http://lattes.cnpq.br/0063865672120826" TargetMode="External"/><Relationship Id="rId152" Type="http://schemas.openxmlformats.org/officeDocument/2006/relationships/hyperlink" Target="mailto:schulze.thiago@ifsp.edu.br" TargetMode="External"/><Relationship Id="rId151" Type="http://schemas.openxmlformats.org/officeDocument/2006/relationships/hyperlink" Target="http://lattes.cnpq.br/2513523808365384" TargetMode="External"/><Relationship Id="rId158" Type="http://schemas.openxmlformats.org/officeDocument/2006/relationships/hyperlink" Target="mailto:valeria.fedrizzi@ifsp.edu.br" TargetMode="External"/><Relationship Id="rId157" Type="http://schemas.openxmlformats.org/officeDocument/2006/relationships/hyperlink" Target="http://lattes.cnpq.br/7578517961831178" TargetMode="External"/><Relationship Id="rId156" Type="http://schemas.openxmlformats.org/officeDocument/2006/relationships/hyperlink" Target="http://lattes.cnpq.br/8191727568242471" TargetMode="External"/><Relationship Id="rId155" Type="http://schemas.openxmlformats.org/officeDocument/2006/relationships/hyperlink" Target="mailto:ulisses.romao@ifsp.edu.b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88"/>
    <col customWidth="1" min="2" max="2" width="13.88"/>
    <col customWidth="1" min="3" max="3" width="10.5"/>
    <col customWidth="1" min="4" max="4" width="68.25"/>
    <col customWidth="1" min="5" max="5" width="8.75"/>
    <col customWidth="1" min="6" max="6" width="11.75"/>
    <col customWidth="1" min="7" max="7" width="26.38"/>
    <col customWidth="1" min="8" max="8" width="20.25"/>
    <col customWidth="1" min="9" max="26" width="7.63"/>
  </cols>
  <sheetData>
    <row r="1" ht="28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 t="s">
        <v>8</v>
      </c>
      <c r="B2" s="7" t="s">
        <v>9</v>
      </c>
      <c r="C2" s="8" t="s">
        <v>10</v>
      </c>
      <c r="D2" s="9" t="s">
        <v>11</v>
      </c>
      <c r="E2" s="10" t="s">
        <v>12</v>
      </c>
      <c r="F2" s="11" t="s">
        <v>13</v>
      </c>
      <c r="G2" s="10" t="s">
        <v>14</v>
      </c>
      <c r="H2" s="1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13"/>
      <c r="B3" s="14"/>
      <c r="C3" s="15"/>
      <c r="D3" s="16" t="s">
        <v>15</v>
      </c>
      <c r="E3" s="14"/>
      <c r="F3" s="14"/>
      <c r="G3" s="14"/>
      <c r="H3" s="1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18"/>
      <c r="B4" s="19"/>
      <c r="C4" s="20"/>
      <c r="D4" s="21" t="s">
        <v>16</v>
      </c>
      <c r="E4" s="19"/>
      <c r="F4" s="19"/>
      <c r="G4" s="19"/>
      <c r="H4" s="1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22" t="s">
        <v>17</v>
      </c>
      <c r="B5" s="23" t="s">
        <v>18</v>
      </c>
      <c r="C5" s="23" t="s">
        <v>19</v>
      </c>
      <c r="D5" s="24" t="s">
        <v>20</v>
      </c>
      <c r="E5" s="25" t="s">
        <v>12</v>
      </c>
      <c r="F5" s="23" t="s">
        <v>13</v>
      </c>
      <c r="G5" s="26" t="s">
        <v>21</v>
      </c>
      <c r="H5" s="2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3"/>
      <c r="B6" s="14"/>
      <c r="C6" s="14"/>
      <c r="D6" s="16" t="s">
        <v>22</v>
      </c>
      <c r="E6" s="14"/>
      <c r="F6" s="14"/>
      <c r="G6" s="14"/>
      <c r="H6" s="1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18"/>
      <c r="B7" s="19"/>
      <c r="C7" s="19"/>
      <c r="D7" s="28" t="s">
        <v>23</v>
      </c>
      <c r="E7" s="19"/>
      <c r="F7" s="19"/>
      <c r="G7" s="19"/>
      <c r="H7" s="2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22" t="s">
        <v>24</v>
      </c>
      <c r="B8" s="23" t="s">
        <v>25</v>
      </c>
      <c r="C8" s="23" t="s">
        <v>26</v>
      </c>
      <c r="D8" s="24" t="s">
        <v>27</v>
      </c>
      <c r="E8" s="30" t="s">
        <v>12</v>
      </c>
      <c r="F8" s="23" t="s">
        <v>28</v>
      </c>
      <c r="G8" s="26" t="s">
        <v>29</v>
      </c>
      <c r="H8" s="2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13"/>
      <c r="B9" s="14"/>
      <c r="C9" s="14"/>
      <c r="D9" s="16" t="s">
        <v>30</v>
      </c>
      <c r="E9" s="14"/>
      <c r="F9" s="14"/>
      <c r="G9" s="14"/>
      <c r="H9" s="1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13"/>
      <c r="B10" s="14"/>
      <c r="C10" s="14"/>
      <c r="D10" s="16" t="s">
        <v>31</v>
      </c>
      <c r="E10" s="14"/>
      <c r="F10" s="14"/>
      <c r="G10" s="14"/>
      <c r="H10" s="17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13"/>
      <c r="B11" s="14"/>
      <c r="C11" s="14"/>
      <c r="D11" s="16" t="s">
        <v>32</v>
      </c>
      <c r="E11" s="14"/>
      <c r="F11" s="14"/>
      <c r="G11" s="14"/>
      <c r="H11" s="17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18"/>
      <c r="B12" s="19"/>
      <c r="C12" s="19"/>
      <c r="D12" s="28" t="s">
        <v>33</v>
      </c>
      <c r="E12" s="19"/>
      <c r="F12" s="19"/>
      <c r="G12" s="19"/>
      <c r="H12" s="29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22" t="s">
        <v>34</v>
      </c>
      <c r="B13" s="23" t="s">
        <v>9</v>
      </c>
      <c r="C13" s="23" t="s">
        <v>35</v>
      </c>
      <c r="D13" s="31" t="s">
        <v>36</v>
      </c>
      <c r="E13" s="26" t="s">
        <v>12</v>
      </c>
      <c r="F13" s="23" t="s">
        <v>28</v>
      </c>
      <c r="G13" s="32" t="s">
        <v>37</v>
      </c>
      <c r="H13" s="2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13"/>
      <c r="B14" s="14"/>
      <c r="C14" s="14"/>
      <c r="D14" s="33" t="s">
        <v>38</v>
      </c>
      <c r="E14" s="14"/>
      <c r="F14" s="14"/>
      <c r="G14" s="14"/>
      <c r="H14" s="17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18"/>
      <c r="B15" s="19"/>
      <c r="C15" s="19"/>
      <c r="D15" s="21" t="s">
        <v>39</v>
      </c>
      <c r="E15" s="19"/>
      <c r="F15" s="19"/>
      <c r="G15" s="19"/>
      <c r="H15" s="2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34" t="s">
        <v>40</v>
      </c>
      <c r="B16" s="35" t="s">
        <v>9</v>
      </c>
      <c r="C16" s="35" t="s">
        <v>41</v>
      </c>
      <c r="D16" s="36" t="s">
        <v>42</v>
      </c>
      <c r="E16" s="37" t="s">
        <v>12</v>
      </c>
      <c r="F16" s="38" t="s">
        <v>43</v>
      </c>
      <c r="G16" s="39" t="s">
        <v>44</v>
      </c>
      <c r="H16" s="40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13"/>
      <c r="B17" s="14"/>
      <c r="C17" s="14"/>
      <c r="D17" s="41" t="s">
        <v>45</v>
      </c>
      <c r="E17" s="14"/>
      <c r="F17" s="14"/>
      <c r="G17" s="14"/>
      <c r="H17" s="17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13"/>
      <c r="B18" s="14"/>
      <c r="C18" s="14"/>
      <c r="D18" s="41" t="s">
        <v>46</v>
      </c>
      <c r="E18" s="14"/>
      <c r="F18" s="14"/>
      <c r="G18" s="14"/>
      <c r="H18" s="1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18"/>
      <c r="B19" s="19"/>
      <c r="C19" s="19"/>
      <c r="D19" s="42" t="s">
        <v>47</v>
      </c>
      <c r="E19" s="19"/>
      <c r="F19" s="19"/>
      <c r="G19" s="19"/>
      <c r="H19" s="29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22" t="s">
        <v>48</v>
      </c>
      <c r="B20" s="23" t="s">
        <v>9</v>
      </c>
      <c r="C20" s="23" t="s">
        <v>26</v>
      </c>
      <c r="D20" s="43" t="s">
        <v>49</v>
      </c>
      <c r="E20" s="26" t="s">
        <v>12</v>
      </c>
      <c r="F20" s="38" t="s">
        <v>28</v>
      </c>
      <c r="G20" s="44" t="s">
        <v>50</v>
      </c>
      <c r="H20" s="4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13"/>
      <c r="B21" s="14"/>
      <c r="C21" s="14"/>
      <c r="D21" s="9" t="s">
        <v>38</v>
      </c>
      <c r="E21" s="14"/>
      <c r="F21" s="14"/>
      <c r="G21" s="14"/>
      <c r="H21" s="1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13"/>
      <c r="B22" s="14"/>
      <c r="C22" s="14"/>
      <c r="D22" s="16" t="s">
        <v>51</v>
      </c>
      <c r="E22" s="14"/>
      <c r="F22" s="14"/>
      <c r="G22" s="14"/>
      <c r="H22" s="17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18"/>
      <c r="B23" s="19"/>
      <c r="C23" s="19"/>
      <c r="D23" s="28" t="s">
        <v>52</v>
      </c>
      <c r="E23" s="19"/>
      <c r="F23" s="19"/>
      <c r="G23" s="19"/>
      <c r="H23" s="29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22" t="s">
        <v>53</v>
      </c>
      <c r="B24" s="23" t="s">
        <v>9</v>
      </c>
      <c r="C24" s="23" t="s">
        <v>10</v>
      </c>
      <c r="D24" s="31" t="s">
        <v>54</v>
      </c>
      <c r="E24" s="26" t="s">
        <v>12</v>
      </c>
      <c r="F24" s="23" t="s">
        <v>43</v>
      </c>
      <c r="G24" s="26" t="s">
        <v>55</v>
      </c>
      <c r="H24" s="4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3"/>
      <c r="B25" s="14"/>
      <c r="C25" s="14"/>
      <c r="D25" s="16" t="s">
        <v>56</v>
      </c>
      <c r="E25" s="14"/>
      <c r="F25" s="14"/>
      <c r="G25" s="14"/>
      <c r="H25" s="17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13"/>
      <c r="B26" s="14"/>
      <c r="C26" s="14"/>
      <c r="D26" s="33" t="s">
        <v>57</v>
      </c>
      <c r="E26" s="14"/>
      <c r="F26" s="14"/>
      <c r="G26" s="14"/>
      <c r="H26" s="17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8"/>
      <c r="B27" s="19"/>
      <c r="C27" s="19"/>
      <c r="D27" s="45" t="s">
        <v>16</v>
      </c>
      <c r="E27" s="19"/>
      <c r="F27" s="19"/>
      <c r="G27" s="19"/>
      <c r="H27" s="2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34" t="s">
        <v>58</v>
      </c>
      <c r="B28" s="35" t="s">
        <v>9</v>
      </c>
      <c r="C28" s="35" t="s">
        <v>35</v>
      </c>
      <c r="D28" s="43" t="s">
        <v>59</v>
      </c>
      <c r="E28" s="37" t="s">
        <v>12</v>
      </c>
      <c r="F28" s="35" t="s">
        <v>13</v>
      </c>
      <c r="G28" s="46" t="s">
        <v>60</v>
      </c>
      <c r="H28" s="4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13"/>
      <c r="B29" s="14"/>
      <c r="C29" s="14"/>
      <c r="D29" s="41" t="s">
        <v>61</v>
      </c>
      <c r="E29" s="14"/>
      <c r="F29" s="14"/>
      <c r="G29" s="14"/>
      <c r="H29" s="17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3"/>
      <c r="B30" s="14"/>
      <c r="C30" s="14"/>
      <c r="D30" s="41" t="s">
        <v>62</v>
      </c>
      <c r="E30" s="14"/>
      <c r="F30" s="14"/>
      <c r="G30" s="14"/>
      <c r="H30" s="17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18"/>
      <c r="B31" s="19"/>
      <c r="C31" s="19"/>
      <c r="D31" s="47" t="s">
        <v>63</v>
      </c>
      <c r="E31" s="19"/>
      <c r="F31" s="19"/>
      <c r="G31" s="19"/>
      <c r="H31" s="29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6" t="s">
        <v>64</v>
      </c>
      <c r="B32" s="7" t="s">
        <v>9</v>
      </c>
      <c r="C32" s="7" t="s">
        <v>65</v>
      </c>
      <c r="D32" s="48" t="s">
        <v>66</v>
      </c>
      <c r="E32" s="10" t="s">
        <v>12</v>
      </c>
      <c r="F32" s="7" t="s">
        <v>28</v>
      </c>
      <c r="G32" s="10" t="s">
        <v>67</v>
      </c>
      <c r="H32" s="49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3"/>
      <c r="B33" s="14"/>
      <c r="C33" s="14"/>
      <c r="D33" s="16" t="s">
        <v>68</v>
      </c>
      <c r="E33" s="14"/>
      <c r="F33" s="14"/>
      <c r="G33" s="14"/>
      <c r="H33" s="17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13"/>
      <c r="B34" s="14"/>
      <c r="C34" s="14"/>
      <c r="D34" s="33" t="s">
        <v>69</v>
      </c>
      <c r="E34" s="14"/>
      <c r="F34" s="14"/>
      <c r="G34" s="14"/>
      <c r="H34" s="17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13"/>
      <c r="B35" s="14"/>
      <c r="C35" s="14"/>
      <c r="D35" s="16" t="s">
        <v>70</v>
      </c>
      <c r="E35" s="14"/>
      <c r="F35" s="14"/>
      <c r="G35" s="14"/>
      <c r="H35" s="17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13"/>
      <c r="B36" s="14"/>
      <c r="C36" s="14"/>
      <c r="D36" s="16" t="s">
        <v>71</v>
      </c>
      <c r="E36" s="14"/>
      <c r="F36" s="14"/>
      <c r="G36" s="14"/>
      <c r="H36" s="17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13"/>
      <c r="B37" s="14"/>
      <c r="C37" s="14"/>
      <c r="D37" s="16" t="s">
        <v>72</v>
      </c>
      <c r="E37" s="14"/>
      <c r="F37" s="14"/>
      <c r="G37" s="14"/>
      <c r="H37" s="17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18"/>
      <c r="B38" s="19"/>
      <c r="C38" s="19"/>
      <c r="D38" s="28" t="s">
        <v>73</v>
      </c>
      <c r="E38" s="19"/>
      <c r="F38" s="19"/>
      <c r="G38" s="19"/>
      <c r="H38" s="29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50" t="s">
        <v>74</v>
      </c>
      <c r="B39" s="11" t="s">
        <v>9</v>
      </c>
      <c r="C39" s="11" t="s">
        <v>19</v>
      </c>
      <c r="D39" s="51" t="s">
        <v>36</v>
      </c>
      <c r="E39" s="52" t="s">
        <v>12</v>
      </c>
      <c r="F39" s="11" t="s">
        <v>28</v>
      </c>
      <c r="G39" s="53" t="s">
        <v>75</v>
      </c>
      <c r="H39" s="5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13"/>
      <c r="B40" s="14"/>
      <c r="C40" s="14"/>
      <c r="D40" s="55" t="s">
        <v>76</v>
      </c>
      <c r="E40" s="14"/>
      <c r="F40" s="14"/>
      <c r="G40" s="14"/>
      <c r="H40" s="17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18"/>
      <c r="B41" s="19"/>
      <c r="C41" s="19"/>
      <c r="D41" s="51" t="s">
        <v>77</v>
      </c>
      <c r="E41" s="19"/>
      <c r="F41" s="19"/>
      <c r="G41" s="19"/>
      <c r="H41" s="29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22" t="s">
        <v>78</v>
      </c>
      <c r="B42" s="23" t="s">
        <v>9</v>
      </c>
      <c r="C42" s="23" t="s">
        <v>79</v>
      </c>
      <c r="D42" s="24" t="s">
        <v>80</v>
      </c>
      <c r="E42" s="26" t="s">
        <v>12</v>
      </c>
      <c r="F42" s="23" t="s">
        <v>28</v>
      </c>
      <c r="G42" s="26" t="s">
        <v>81</v>
      </c>
      <c r="H42" s="5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13"/>
      <c r="B43" s="14"/>
      <c r="C43" s="14"/>
      <c r="D43" s="33" t="s">
        <v>82</v>
      </c>
      <c r="E43" s="14"/>
      <c r="F43" s="14"/>
      <c r="G43" s="14"/>
      <c r="H43" s="17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13"/>
      <c r="B44" s="14"/>
      <c r="C44" s="14"/>
      <c r="D44" s="16" t="s">
        <v>83</v>
      </c>
      <c r="E44" s="14"/>
      <c r="F44" s="14"/>
      <c r="G44" s="14"/>
      <c r="H44" s="17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13"/>
      <c r="B45" s="14"/>
      <c r="C45" s="14"/>
      <c r="D45" s="16" t="s">
        <v>84</v>
      </c>
      <c r="E45" s="14"/>
      <c r="F45" s="14"/>
      <c r="G45" s="14"/>
      <c r="H45" s="17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13"/>
      <c r="B46" s="14"/>
      <c r="C46" s="14"/>
      <c r="D46" s="16" t="s">
        <v>85</v>
      </c>
      <c r="E46" s="14"/>
      <c r="F46" s="14"/>
      <c r="G46" s="14"/>
      <c r="H46" s="17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18"/>
      <c r="B47" s="19"/>
      <c r="C47" s="19"/>
      <c r="D47" s="21" t="s">
        <v>86</v>
      </c>
      <c r="E47" s="19"/>
      <c r="F47" s="19"/>
      <c r="G47" s="19"/>
      <c r="H47" s="29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22" t="s">
        <v>87</v>
      </c>
      <c r="B48" s="23" t="s">
        <v>9</v>
      </c>
      <c r="C48" s="23" t="s">
        <v>26</v>
      </c>
      <c r="D48" s="31" t="s">
        <v>36</v>
      </c>
      <c r="E48" s="26" t="s">
        <v>12</v>
      </c>
      <c r="F48" s="23" t="s">
        <v>28</v>
      </c>
      <c r="G48" s="26" t="s">
        <v>88</v>
      </c>
      <c r="H48" s="57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13"/>
      <c r="B49" s="14"/>
      <c r="C49" s="14"/>
      <c r="D49" s="16" t="s">
        <v>89</v>
      </c>
      <c r="E49" s="14"/>
      <c r="F49" s="14"/>
      <c r="G49" s="14"/>
      <c r="H49" s="17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13"/>
      <c r="B50" s="14"/>
      <c r="C50" s="14"/>
      <c r="D50" s="16" t="s">
        <v>90</v>
      </c>
      <c r="E50" s="14"/>
      <c r="F50" s="14"/>
      <c r="G50" s="14"/>
      <c r="H50" s="17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13"/>
      <c r="B51" s="14"/>
      <c r="C51" s="14"/>
      <c r="D51" s="16" t="s">
        <v>91</v>
      </c>
      <c r="E51" s="14"/>
      <c r="F51" s="14"/>
      <c r="G51" s="14"/>
      <c r="H51" s="17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13"/>
      <c r="B52" s="14"/>
      <c r="C52" s="14"/>
      <c r="D52" s="16" t="s">
        <v>92</v>
      </c>
      <c r="E52" s="14"/>
      <c r="F52" s="14"/>
      <c r="G52" s="14"/>
      <c r="H52" s="17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13"/>
      <c r="B53" s="14"/>
      <c r="C53" s="14"/>
      <c r="D53" s="16" t="s">
        <v>93</v>
      </c>
      <c r="E53" s="14"/>
      <c r="F53" s="14"/>
      <c r="G53" s="14"/>
      <c r="H53" s="17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18"/>
      <c r="B54" s="19"/>
      <c r="C54" s="19"/>
      <c r="D54" s="21" t="s">
        <v>94</v>
      </c>
      <c r="E54" s="19"/>
      <c r="F54" s="19"/>
      <c r="G54" s="19"/>
      <c r="H54" s="29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22" t="s">
        <v>95</v>
      </c>
      <c r="B55" s="23" t="s">
        <v>9</v>
      </c>
      <c r="C55" s="58" t="s">
        <v>41</v>
      </c>
      <c r="D55" s="24" t="s">
        <v>96</v>
      </c>
      <c r="E55" s="26" t="s">
        <v>12</v>
      </c>
      <c r="F55" s="23" t="s">
        <v>28</v>
      </c>
      <c r="G55" s="26" t="s">
        <v>97</v>
      </c>
      <c r="H55" s="57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13"/>
      <c r="B56" s="14"/>
      <c r="C56" s="14"/>
      <c r="D56" s="16" t="s">
        <v>98</v>
      </c>
      <c r="E56" s="14"/>
      <c r="F56" s="14"/>
      <c r="G56" s="14"/>
      <c r="H56" s="17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13"/>
      <c r="B57" s="14"/>
      <c r="C57" s="14"/>
      <c r="D57" s="16" t="s">
        <v>99</v>
      </c>
      <c r="E57" s="14"/>
      <c r="F57" s="14"/>
      <c r="G57" s="14"/>
      <c r="H57" s="17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18"/>
      <c r="B58" s="19"/>
      <c r="C58" s="19"/>
      <c r="D58" s="45" t="s">
        <v>100</v>
      </c>
      <c r="E58" s="19"/>
      <c r="F58" s="19"/>
      <c r="G58" s="19"/>
      <c r="H58" s="29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59" t="s">
        <v>101</v>
      </c>
      <c r="B59" s="35" t="s">
        <v>9</v>
      </c>
      <c r="C59" s="35" t="s">
        <v>102</v>
      </c>
      <c r="D59" s="60" t="s">
        <v>68</v>
      </c>
      <c r="E59" s="37" t="s">
        <v>12</v>
      </c>
      <c r="F59" s="61" t="s">
        <v>28</v>
      </c>
      <c r="G59" s="62" t="s">
        <v>103</v>
      </c>
      <c r="H59" s="63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64"/>
      <c r="B60" s="14"/>
      <c r="C60" s="14"/>
      <c r="D60" s="65" t="s">
        <v>104</v>
      </c>
      <c r="E60" s="14"/>
      <c r="F60" s="66"/>
      <c r="G60" s="66"/>
      <c r="H60" s="67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0" customHeight="1">
      <c r="A61" s="68"/>
      <c r="B61" s="19"/>
      <c r="C61" s="19"/>
      <c r="D61" s="69" t="s">
        <v>105</v>
      </c>
      <c r="E61" s="19"/>
      <c r="F61" s="70"/>
      <c r="G61" s="70"/>
      <c r="H61" s="71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0" customHeight="1">
      <c r="A62" s="72" t="s">
        <v>106</v>
      </c>
      <c r="B62" s="73" t="s">
        <v>18</v>
      </c>
      <c r="C62" s="74" t="s">
        <v>26</v>
      </c>
      <c r="D62" s="75" t="s">
        <v>107</v>
      </c>
      <c r="E62" s="76" t="s">
        <v>108</v>
      </c>
      <c r="F62" s="77" t="s">
        <v>109</v>
      </c>
      <c r="G62" s="78" t="s">
        <v>110</v>
      </c>
      <c r="H62" s="79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0" customHeight="1">
      <c r="A63" s="6" t="s">
        <v>111</v>
      </c>
      <c r="B63" s="7" t="s">
        <v>9</v>
      </c>
      <c r="C63" s="7" t="s">
        <v>19</v>
      </c>
      <c r="D63" s="80" t="s">
        <v>112</v>
      </c>
      <c r="E63" s="10" t="s">
        <v>12</v>
      </c>
      <c r="F63" s="7" t="s">
        <v>13</v>
      </c>
      <c r="G63" s="10" t="s">
        <v>113</v>
      </c>
      <c r="H63" s="1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0" customHeight="1">
      <c r="A64" s="13"/>
      <c r="B64" s="14"/>
      <c r="C64" s="14"/>
      <c r="D64" s="16" t="s">
        <v>114</v>
      </c>
      <c r="E64" s="14"/>
      <c r="F64" s="14"/>
      <c r="G64" s="14"/>
      <c r="H64" s="17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0" customHeight="1">
      <c r="A65" s="13"/>
      <c r="B65" s="14"/>
      <c r="C65" s="14"/>
      <c r="D65" s="16" t="s">
        <v>115</v>
      </c>
      <c r="E65" s="14"/>
      <c r="F65" s="14"/>
      <c r="G65" s="14"/>
      <c r="H65" s="17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75" customHeight="1">
      <c r="A66" s="13"/>
      <c r="B66" s="14"/>
      <c r="C66" s="14"/>
      <c r="D66" s="16" t="s">
        <v>116</v>
      </c>
      <c r="E66" s="14"/>
      <c r="F66" s="14"/>
      <c r="G66" s="14"/>
      <c r="H66" s="17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0" customHeight="1">
      <c r="A67" s="13"/>
      <c r="B67" s="14"/>
      <c r="C67" s="14"/>
      <c r="D67" s="16" t="s">
        <v>117</v>
      </c>
      <c r="E67" s="14"/>
      <c r="F67" s="14"/>
      <c r="G67" s="14"/>
      <c r="H67" s="17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0" customHeight="1">
      <c r="A68" s="18"/>
      <c r="B68" s="19"/>
      <c r="C68" s="19"/>
      <c r="D68" s="21" t="s">
        <v>118</v>
      </c>
      <c r="E68" s="19"/>
      <c r="F68" s="19"/>
      <c r="G68" s="19"/>
      <c r="H68" s="29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0" customHeight="1">
      <c r="A69" s="22" t="s">
        <v>119</v>
      </c>
      <c r="B69" s="23" t="s">
        <v>9</v>
      </c>
      <c r="C69" s="23" t="s">
        <v>10</v>
      </c>
      <c r="D69" s="24" t="s">
        <v>120</v>
      </c>
      <c r="E69" s="26" t="s">
        <v>12</v>
      </c>
      <c r="F69" s="23" t="s">
        <v>43</v>
      </c>
      <c r="G69" s="26" t="s">
        <v>121</v>
      </c>
      <c r="H69" s="27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0" customHeight="1">
      <c r="A70" s="13"/>
      <c r="B70" s="14"/>
      <c r="C70" s="14"/>
      <c r="D70" s="16" t="s">
        <v>69</v>
      </c>
      <c r="E70" s="14"/>
      <c r="F70" s="14"/>
      <c r="G70" s="14"/>
      <c r="H70" s="17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0" customHeight="1">
      <c r="A71" s="13"/>
      <c r="B71" s="14"/>
      <c r="C71" s="14"/>
      <c r="D71" s="16" t="s">
        <v>122</v>
      </c>
      <c r="E71" s="14"/>
      <c r="F71" s="14"/>
      <c r="G71" s="14"/>
      <c r="H71" s="17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0" customHeight="1">
      <c r="A72" s="13"/>
      <c r="B72" s="14"/>
      <c r="C72" s="14"/>
      <c r="D72" s="16" t="s">
        <v>123</v>
      </c>
      <c r="E72" s="14"/>
      <c r="F72" s="14"/>
      <c r="G72" s="14"/>
      <c r="H72" s="17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0" customHeight="1">
      <c r="A73" s="13"/>
      <c r="B73" s="14"/>
      <c r="C73" s="14"/>
      <c r="D73" s="33" t="s">
        <v>124</v>
      </c>
      <c r="E73" s="14"/>
      <c r="F73" s="14"/>
      <c r="G73" s="14"/>
      <c r="H73" s="17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0" customHeight="1">
      <c r="A74" s="18"/>
      <c r="B74" s="19"/>
      <c r="C74" s="19"/>
      <c r="D74" s="28" t="s">
        <v>125</v>
      </c>
      <c r="E74" s="19"/>
      <c r="F74" s="19"/>
      <c r="G74" s="19"/>
      <c r="H74" s="29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0" customHeight="1">
      <c r="A75" s="22" t="s">
        <v>126</v>
      </c>
      <c r="B75" s="23" t="s">
        <v>9</v>
      </c>
      <c r="C75" s="23" t="s">
        <v>35</v>
      </c>
      <c r="D75" s="24" t="s">
        <v>127</v>
      </c>
      <c r="E75" s="81" t="s">
        <v>12</v>
      </c>
      <c r="F75" s="23" t="s">
        <v>28</v>
      </c>
      <c r="G75" s="82" t="s">
        <v>128</v>
      </c>
      <c r="H75" s="27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0" customHeight="1">
      <c r="A76" s="13"/>
      <c r="B76" s="14"/>
      <c r="C76" s="14"/>
      <c r="D76" s="16" t="s">
        <v>129</v>
      </c>
      <c r="E76" s="14"/>
      <c r="F76" s="14"/>
      <c r="G76" s="14"/>
      <c r="H76" s="17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0" customHeight="1">
      <c r="A77" s="13"/>
      <c r="B77" s="14"/>
      <c r="C77" s="14"/>
      <c r="D77" s="16" t="s">
        <v>130</v>
      </c>
      <c r="E77" s="14"/>
      <c r="F77" s="14"/>
      <c r="G77" s="14"/>
      <c r="H77" s="17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0" customHeight="1">
      <c r="A78" s="18"/>
      <c r="B78" s="19"/>
      <c r="C78" s="19"/>
      <c r="D78" s="28" t="s">
        <v>52</v>
      </c>
      <c r="E78" s="19"/>
      <c r="F78" s="19"/>
      <c r="G78" s="19"/>
      <c r="H78" s="29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0" customHeight="1">
      <c r="A79" s="22" t="s">
        <v>131</v>
      </c>
      <c r="B79" s="23" t="s">
        <v>9</v>
      </c>
      <c r="C79" s="23" t="s">
        <v>132</v>
      </c>
      <c r="D79" s="24" t="s">
        <v>133</v>
      </c>
      <c r="E79" s="26" t="s">
        <v>12</v>
      </c>
      <c r="F79" s="23" t="s">
        <v>43</v>
      </c>
      <c r="G79" s="26" t="s">
        <v>134</v>
      </c>
      <c r="H79" s="57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0" customHeight="1">
      <c r="A80" s="13"/>
      <c r="B80" s="14"/>
      <c r="C80" s="14"/>
      <c r="D80" s="16" t="s">
        <v>135</v>
      </c>
      <c r="E80" s="14"/>
      <c r="F80" s="14"/>
      <c r="G80" s="14"/>
      <c r="H80" s="17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0" customHeight="1">
      <c r="A81" s="18"/>
      <c r="B81" s="19"/>
      <c r="C81" s="19"/>
      <c r="D81" s="45" t="s">
        <v>46</v>
      </c>
      <c r="E81" s="19"/>
      <c r="F81" s="19"/>
      <c r="G81" s="19"/>
      <c r="H81" s="29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0" customHeight="1">
      <c r="A82" s="34" t="s">
        <v>136</v>
      </c>
      <c r="B82" s="35" t="s">
        <v>137</v>
      </c>
      <c r="C82" s="35" t="s">
        <v>79</v>
      </c>
      <c r="D82" s="83" t="s">
        <v>138</v>
      </c>
      <c r="E82" s="37" t="s">
        <v>12</v>
      </c>
      <c r="F82" s="35" t="s">
        <v>43</v>
      </c>
      <c r="G82" s="32" t="s">
        <v>139</v>
      </c>
      <c r="H82" s="8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0" customHeight="1">
      <c r="A83" s="13"/>
      <c r="B83" s="14"/>
      <c r="C83" s="14"/>
      <c r="D83" s="85" t="s">
        <v>140</v>
      </c>
      <c r="E83" s="14"/>
      <c r="F83" s="14"/>
      <c r="G83" s="14"/>
      <c r="H83" s="17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0" customHeight="1">
      <c r="A84" s="13"/>
      <c r="B84" s="14"/>
      <c r="C84" s="14"/>
      <c r="D84" s="85" t="s">
        <v>141</v>
      </c>
      <c r="E84" s="14"/>
      <c r="F84" s="14"/>
      <c r="G84" s="14"/>
      <c r="H84" s="17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0" customHeight="1">
      <c r="A85" s="13"/>
      <c r="B85" s="14"/>
      <c r="C85" s="14"/>
      <c r="D85" s="85" t="s">
        <v>142</v>
      </c>
      <c r="E85" s="14"/>
      <c r="F85" s="14"/>
      <c r="G85" s="14"/>
      <c r="H85" s="17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0" customHeight="1">
      <c r="A86" s="18"/>
      <c r="B86" s="19"/>
      <c r="C86" s="19"/>
      <c r="D86" s="86" t="s">
        <v>86</v>
      </c>
      <c r="E86" s="19"/>
      <c r="F86" s="19"/>
      <c r="G86" s="19"/>
      <c r="H86" s="29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0" customHeight="1">
      <c r="A87" s="50" t="s">
        <v>143</v>
      </c>
      <c r="B87" s="11" t="s">
        <v>9</v>
      </c>
      <c r="C87" s="11" t="s">
        <v>41</v>
      </c>
      <c r="D87" s="87" t="s">
        <v>144</v>
      </c>
      <c r="E87" s="52" t="s">
        <v>12</v>
      </c>
      <c r="F87" s="11" t="s">
        <v>13</v>
      </c>
      <c r="G87" s="88" t="s">
        <v>145</v>
      </c>
      <c r="H87" s="89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0" customHeight="1">
      <c r="A88" s="13"/>
      <c r="B88" s="14"/>
      <c r="C88" s="14"/>
      <c r="D88" s="85" t="s">
        <v>146</v>
      </c>
      <c r="E88" s="14"/>
      <c r="F88" s="14"/>
      <c r="G88" s="14"/>
      <c r="H88" s="17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0" customHeight="1">
      <c r="A89" s="13"/>
      <c r="B89" s="14"/>
      <c r="C89" s="14"/>
      <c r="D89" s="85" t="s">
        <v>147</v>
      </c>
      <c r="E89" s="14"/>
      <c r="F89" s="14"/>
      <c r="G89" s="14"/>
      <c r="H89" s="17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0" customHeight="1">
      <c r="A90" s="13"/>
      <c r="B90" s="14"/>
      <c r="C90" s="14"/>
      <c r="D90" s="85" t="s">
        <v>148</v>
      </c>
      <c r="E90" s="14"/>
      <c r="F90" s="14"/>
      <c r="G90" s="14"/>
      <c r="H90" s="17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0" customHeight="1">
      <c r="A91" s="18"/>
      <c r="B91" s="19"/>
      <c r="C91" s="19"/>
      <c r="D91" s="86" t="s">
        <v>149</v>
      </c>
      <c r="E91" s="19"/>
      <c r="F91" s="19"/>
      <c r="G91" s="19"/>
      <c r="H91" s="29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0" customHeight="1">
      <c r="A92" s="34" t="s">
        <v>150</v>
      </c>
      <c r="B92" s="35" t="s">
        <v>137</v>
      </c>
      <c r="C92" s="35" t="s">
        <v>65</v>
      </c>
      <c r="D92" s="90" t="s">
        <v>151</v>
      </c>
      <c r="E92" s="37" t="s">
        <v>12</v>
      </c>
      <c r="F92" s="91" t="s">
        <v>13</v>
      </c>
      <c r="G92" s="46" t="s">
        <v>152</v>
      </c>
      <c r="H92" s="27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0" customHeight="1">
      <c r="A93" s="13"/>
      <c r="B93" s="14"/>
      <c r="C93" s="14"/>
      <c r="D93" s="55" t="s">
        <v>153</v>
      </c>
      <c r="E93" s="14"/>
      <c r="F93" s="14"/>
      <c r="G93" s="14"/>
      <c r="H93" s="17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0" customHeight="1">
      <c r="A94" s="18"/>
      <c r="B94" s="19"/>
      <c r="C94" s="19"/>
      <c r="D94" s="92" t="s">
        <v>46</v>
      </c>
      <c r="E94" s="19"/>
      <c r="F94" s="19"/>
      <c r="G94" s="19"/>
      <c r="H94" s="29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0" customHeight="1">
      <c r="A95" s="6" t="s">
        <v>154</v>
      </c>
      <c r="B95" s="11" t="s">
        <v>18</v>
      </c>
      <c r="C95" s="7" t="s">
        <v>26</v>
      </c>
      <c r="D95" s="80" t="s">
        <v>38</v>
      </c>
      <c r="E95" s="10" t="s">
        <v>12</v>
      </c>
      <c r="F95" s="93" t="s">
        <v>13</v>
      </c>
      <c r="G95" s="10" t="s">
        <v>155</v>
      </c>
      <c r="H95" s="5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0" customHeight="1">
      <c r="A96" s="13"/>
      <c r="B96" s="14"/>
      <c r="C96" s="14"/>
      <c r="D96" s="94" t="s">
        <v>156</v>
      </c>
      <c r="E96" s="14"/>
      <c r="F96" s="14"/>
      <c r="G96" s="14"/>
      <c r="H96" s="17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0" customHeight="1">
      <c r="A97" s="13"/>
      <c r="B97" s="14"/>
      <c r="C97" s="14"/>
      <c r="D97" s="16" t="s">
        <v>157</v>
      </c>
      <c r="E97" s="14"/>
      <c r="F97" s="14"/>
      <c r="G97" s="14"/>
      <c r="H97" s="17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0" customHeight="1">
      <c r="A98" s="13"/>
      <c r="B98" s="14"/>
      <c r="C98" s="14"/>
      <c r="D98" s="16" t="s">
        <v>158</v>
      </c>
      <c r="E98" s="14"/>
      <c r="F98" s="14"/>
      <c r="G98" s="14"/>
      <c r="H98" s="17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0" customHeight="1">
      <c r="A99" s="18"/>
      <c r="B99" s="19"/>
      <c r="C99" s="19"/>
      <c r="D99" s="28" t="s">
        <v>159</v>
      </c>
      <c r="E99" s="19"/>
      <c r="F99" s="19"/>
      <c r="G99" s="19"/>
      <c r="H99" s="29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0" customHeight="1">
      <c r="A100" s="22" t="s">
        <v>160</v>
      </c>
      <c r="B100" s="23" t="s">
        <v>9</v>
      </c>
      <c r="C100" s="58" t="s">
        <v>19</v>
      </c>
      <c r="D100" s="24" t="s">
        <v>161</v>
      </c>
      <c r="E100" s="26" t="s">
        <v>12</v>
      </c>
      <c r="F100" s="23" t="s">
        <v>13</v>
      </c>
      <c r="G100" s="26" t="s">
        <v>162</v>
      </c>
      <c r="H100" s="84" t="s">
        <v>163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0" customHeight="1">
      <c r="A101" s="13"/>
      <c r="B101" s="14"/>
      <c r="C101" s="14"/>
      <c r="D101" s="16" t="s">
        <v>164</v>
      </c>
      <c r="E101" s="14"/>
      <c r="F101" s="14"/>
      <c r="G101" s="14"/>
      <c r="H101" s="17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0" customHeight="1">
      <c r="A102" s="18"/>
      <c r="B102" s="19"/>
      <c r="C102" s="19"/>
      <c r="D102" s="28" t="s">
        <v>165</v>
      </c>
      <c r="E102" s="19"/>
      <c r="F102" s="19"/>
      <c r="G102" s="19"/>
      <c r="H102" s="29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0" customHeight="1">
      <c r="A103" s="22" t="s">
        <v>166</v>
      </c>
      <c r="B103" s="23" t="s">
        <v>9</v>
      </c>
      <c r="C103" s="23" t="s">
        <v>10</v>
      </c>
      <c r="D103" s="24" t="s">
        <v>167</v>
      </c>
      <c r="E103" s="26" t="s">
        <v>12</v>
      </c>
      <c r="F103" s="23" t="s">
        <v>168</v>
      </c>
      <c r="G103" s="26" t="s">
        <v>169</v>
      </c>
      <c r="H103" s="84" t="s">
        <v>163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0" customHeight="1">
      <c r="A104" s="18"/>
      <c r="B104" s="19"/>
      <c r="C104" s="19"/>
      <c r="D104" s="28" t="s">
        <v>170</v>
      </c>
      <c r="E104" s="19"/>
      <c r="F104" s="19"/>
      <c r="G104" s="19"/>
      <c r="H104" s="29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0" customHeight="1">
      <c r="A105" s="22" t="s">
        <v>171</v>
      </c>
      <c r="B105" s="35" t="s">
        <v>18</v>
      </c>
      <c r="C105" s="23" t="s">
        <v>26</v>
      </c>
      <c r="D105" s="24" t="s">
        <v>172</v>
      </c>
      <c r="E105" s="26" t="s">
        <v>12</v>
      </c>
      <c r="F105" s="23" t="s">
        <v>13</v>
      </c>
      <c r="G105" s="26" t="s">
        <v>173</v>
      </c>
      <c r="H105" s="27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0" customHeight="1">
      <c r="A106" s="13"/>
      <c r="B106" s="14"/>
      <c r="C106" s="14"/>
      <c r="D106" s="16" t="s">
        <v>174</v>
      </c>
      <c r="E106" s="14"/>
      <c r="F106" s="14"/>
      <c r="G106" s="14"/>
      <c r="H106" s="17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0" customHeight="1">
      <c r="A107" s="13"/>
      <c r="B107" s="14"/>
      <c r="C107" s="14"/>
      <c r="D107" s="16" t="s">
        <v>175</v>
      </c>
      <c r="E107" s="14"/>
      <c r="F107" s="14"/>
      <c r="G107" s="14"/>
      <c r="H107" s="17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0" customHeight="1">
      <c r="A108" s="18"/>
      <c r="B108" s="19"/>
      <c r="C108" s="19"/>
      <c r="D108" s="21" t="s">
        <v>176</v>
      </c>
      <c r="E108" s="19"/>
      <c r="F108" s="19"/>
      <c r="G108" s="19"/>
      <c r="H108" s="29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0" customHeight="1">
      <c r="A109" s="22" t="s">
        <v>177</v>
      </c>
      <c r="B109" s="23" t="s">
        <v>9</v>
      </c>
      <c r="C109" s="23" t="s">
        <v>26</v>
      </c>
      <c r="D109" s="95" t="s">
        <v>36</v>
      </c>
      <c r="E109" s="81" t="s">
        <v>12</v>
      </c>
      <c r="F109" s="23" t="s">
        <v>28</v>
      </c>
      <c r="G109" s="23" t="s">
        <v>178</v>
      </c>
      <c r="H109" s="27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0" customHeight="1">
      <c r="A110" s="13"/>
      <c r="B110" s="14"/>
      <c r="C110" s="14"/>
      <c r="D110" s="94" t="s">
        <v>38</v>
      </c>
      <c r="E110" s="14"/>
      <c r="F110" s="14"/>
      <c r="G110" s="14"/>
      <c r="H110" s="17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0" customHeight="1">
      <c r="A111" s="18"/>
      <c r="B111" s="19"/>
      <c r="C111" s="19"/>
      <c r="D111" s="96" t="s">
        <v>52</v>
      </c>
      <c r="E111" s="19"/>
      <c r="F111" s="19"/>
      <c r="G111" s="19"/>
      <c r="H111" s="29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0" customHeight="1">
      <c r="A112" s="22" t="s">
        <v>179</v>
      </c>
      <c r="B112" s="23" t="s">
        <v>9</v>
      </c>
      <c r="C112" s="23" t="s">
        <v>180</v>
      </c>
      <c r="D112" s="31" t="s">
        <v>68</v>
      </c>
      <c r="E112" s="26" t="s">
        <v>12</v>
      </c>
      <c r="F112" s="23" t="s">
        <v>28</v>
      </c>
      <c r="G112" s="26" t="s">
        <v>181</v>
      </c>
      <c r="H112" s="27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0" customHeight="1">
      <c r="A113" s="13"/>
      <c r="B113" s="14"/>
      <c r="C113" s="14"/>
      <c r="D113" s="16" t="s">
        <v>182</v>
      </c>
      <c r="E113" s="14"/>
      <c r="F113" s="14"/>
      <c r="G113" s="14"/>
      <c r="H113" s="17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0" customHeight="1">
      <c r="A114" s="13"/>
      <c r="B114" s="14"/>
      <c r="C114" s="14"/>
      <c r="D114" s="16" t="s">
        <v>183</v>
      </c>
      <c r="E114" s="14"/>
      <c r="F114" s="14"/>
      <c r="G114" s="14"/>
      <c r="H114" s="17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0" customHeight="1">
      <c r="A115" s="18"/>
      <c r="B115" s="19"/>
      <c r="C115" s="19"/>
      <c r="D115" s="28" t="s">
        <v>184</v>
      </c>
      <c r="E115" s="19"/>
      <c r="F115" s="19"/>
      <c r="G115" s="19"/>
      <c r="H115" s="29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0" customHeight="1">
      <c r="A116" s="22" t="s">
        <v>185</v>
      </c>
      <c r="B116" s="23" t="s">
        <v>9</v>
      </c>
      <c r="C116" s="23" t="s">
        <v>35</v>
      </c>
      <c r="D116" s="97" t="s">
        <v>133</v>
      </c>
      <c r="E116" s="98" t="s">
        <v>12</v>
      </c>
      <c r="F116" s="38" t="s">
        <v>28</v>
      </c>
      <c r="G116" s="44" t="s">
        <v>186</v>
      </c>
      <c r="H116" s="57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0" customHeight="1">
      <c r="A117" s="13"/>
      <c r="B117" s="14"/>
      <c r="C117" s="14"/>
      <c r="D117" s="16" t="s">
        <v>38</v>
      </c>
      <c r="E117" s="14"/>
      <c r="F117" s="14"/>
      <c r="G117" s="14"/>
      <c r="H117" s="17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0" customHeight="1">
      <c r="A118" s="13"/>
      <c r="B118" s="14"/>
      <c r="C118" s="14"/>
      <c r="D118" s="16" t="s">
        <v>115</v>
      </c>
      <c r="E118" s="14"/>
      <c r="F118" s="14"/>
      <c r="G118" s="14"/>
      <c r="H118" s="17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0" customHeight="1">
      <c r="A119" s="18"/>
      <c r="B119" s="19"/>
      <c r="C119" s="19"/>
      <c r="D119" s="99" t="s">
        <v>187</v>
      </c>
      <c r="E119" s="19"/>
      <c r="F119" s="19"/>
      <c r="G119" s="19"/>
      <c r="H119" s="29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0" customHeight="1">
      <c r="A120" s="22" t="s">
        <v>188</v>
      </c>
      <c r="B120" s="23" t="s">
        <v>9</v>
      </c>
      <c r="C120" s="23" t="s">
        <v>10</v>
      </c>
      <c r="D120" s="100" t="s">
        <v>96</v>
      </c>
      <c r="E120" s="81" t="s">
        <v>12</v>
      </c>
      <c r="F120" s="23" t="s">
        <v>43</v>
      </c>
      <c r="G120" s="58" t="s">
        <v>189</v>
      </c>
      <c r="H120" s="57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0" customHeight="1">
      <c r="A121" s="13"/>
      <c r="B121" s="14"/>
      <c r="C121" s="14"/>
      <c r="D121" s="94" t="s">
        <v>11</v>
      </c>
      <c r="E121" s="14"/>
      <c r="F121" s="14"/>
      <c r="G121" s="14"/>
      <c r="H121" s="17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0" customHeight="1">
      <c r="A122" s="18"/>
      <c r="B122" s="19"/>
      <c r="C122" s="19"/>
      <c r="D122" s="96" t="s">
        <v>190</v>
      </c>
      <c r="E122" s="19"/>
      <c r="F122" s="19"/>
      <c r="G122" s="19"/>
      <c r="H122" s="29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0" customHeight="1">
      <c r="A123" s="22" t="s">
        <v>191</v>
      </c>
      <c r="B123" s="23" t="s">
        <v>9</v>
      </c>
      <c r="C123" s="23" t="s">
        <v>26</v>
      </c>
      <c r="D123" s="24" t="s">
        <v>192</v>
      </c>
      <c r="E123" s="26" t="s">
        <v>12</v>
      </c>
      <c r="F123" s="23" t="s">
        <v>168</v>
      </c>
      <c r="G123" s="26" t="s">
        <v>193</v>
      </c>
      <c r="H123" s="57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0" customHeight="1">
      <c r="A124" s="13"/>
      <c r="B124" s="14"/>
      <c r="C124" s="14"/>
      <c r="D124" s="16" t="s">
        <v>90</v>
      </c>
      <c r="E124" s="14"/>
      <c r="F124" s="14"/>
      <c r="G124" s="14"/>
      <c r="H124" s="17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0" customHeight="1">
      <c r="A125" s="18"/>
      <c r="B125" s="19"/>
      <c r="C125" s="19"/>
      <c r="D125" s="28" t="s">
        <v>94</v>
      </c>
      <c r="E125" s="19"/>
      <c r="F125" s="19"/>
      <c r="G125" s="19"/>
      <c r="H125" s="29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0" customHeight="1">
      <c r="A126" s="50" t="s">
        <v>194</v>
      </c>
      <c r="B126" s="35" t="s">
        <v>9</v>
      </c>
      <c r="C126" s="35" t="s">
        <v>195</v>
      </c>
      <c r="D126" s="9" t="s">
        <v>196</v>
      </c>
      <c r="E126" s="37" t="s">
        <v>12</v>
      </c>
      <c r="F126" s="35" t="s">
        <v>168</v>
      </c>
      <c r="G126" s="101" t="s">
        <v>197</v>
      </c>
      <c r="H126" s="56" t="s">
        <v>163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0" customHeight="1">
      <c r="A127" s="18"/>
      <c r="B127" s="19"/>
      <c r="C127" s="19"/>
      <c r="D127" s="102" t="s">
        <v>46</v>
      </c>
      <c r="E127" s="19"/>
      <c r="F127" s="19"/>
      <c r="G127" s="70"/>
      <c r="H127" s="29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0" customHeight="1">
      <c r="A128" s="22" t="s">
        <v>198</v>
      </c>
      <c r="B128" s="23" t="s">
        <v>9</v>
      </c>
      <c r="C128" s="23" t="s">
        <v>180</v>
      </c>
      <c r="D128" s="90" t="s">
        <v>199</v>
      </c>
      <c r="E128" s="26" t="s">
        <v>12</v>
      </c>
      <c r="F128" s="35" t="s">
        <v>28</v>
      </c>
      <c r="G128" s="26" t="s">
        <v>200</v>
      </c>
      <c r="H128" s="27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0" customHeight="1">
      <c r="A129" s="13"/>
      <c r="B129" s="14"/>
      <c r="C129" s="14"/>
      <c r="D129" s="16" t="s">
        <v>69</v>
      </c>
      <c r="E129" s="14"/>
      <c r="F129" s="14"/>
      <c r="G129" s="14"/>
      <c r="H129" s="17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0" customHeight="1">
      <c r="A130" s="18"/>
      <c r="B130" s="19"/>
      <c r="C130" s="19"/>
      <c r="D130" s="21" t="s">
        <v>201</v>
      </c>
      <c r="E130" s="19"/>
      <c r="F130" s="19"/>
      <c r="G130" s="19"/>
      <c r="H130" s="29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0" customHeight="1">
      <c r="A131" s="6" t="s">
        <v>202</v>
      </c>
      <c r="B131" s="11" t="s">
        <v>18</v>
      </c>
      <c r="C131" s="7" t="s">
        <v>19</v>
      </c>
      <c r="D131" s="80" t="s">
        <v>203</v>
      </c>
      <c r="E131" s="10" t="s">
        <v>12</v>
      </c>
      <c r="F131" s="7" t="s">
        <v>28</v>
      </c>
      <c r="G131" s="10" t="s">
        <v>204</v>
      </c>
      <c r="H131" s="5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0" customHeight="1">
      <c r="A132" s="13"/>
      <c r="B132" s="14"/>
      <c r="C132" s="14"/>
      <c r="D132" s="33" t="s">
        <v>205</v>
      </c>
      <c r="E132" s="14"/>
      <c r="F132" s="14"/>
      <c r="G132" s="14"/>
      <c r="H132" s="17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0" customHeight="1">
      <c r="A133" s="13"/>
      <c r="B133" s="14"/>
      <c r="C133" s="14"/>
      <c r="D133" s="94" t="s">
        <v>206</v>
      </c>
      <c r="E133" s="14"/>
      <c r="F133" s="14"/>
      <c r="G133" s="14"/>
      <c r="H133" s="17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0" customHeight="1">
      <c r="A134" s="13"/>
      <c r="B134" s="14"/>
      <c r="C134" s="14"/>
      <c r="D134" s="16" t="s">
        <v>192</v>
      </c>
      <c r="E134" s="14"/>
      <c r="F134" s="14"/>
      <c r="G134" s="14"/>
      <c r="H134" s="17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0" customHeight="1">
      <c r="A135" s="13"/>
      <c r="B135" s="14"/>
      <c r="C135" s="14"/>
      <c r="D135" s="16" t="s">
        <v>207</v>
      </c>
      <c r="E135" s="14"/>
      <c r="F135" s="14"/>
      <c r="G135" s="14"/>
      <c r="H135" s="17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0" customHeight="1">
      <c r="A136" s="18"/>
      <c r="B136" s="19"/>
      <c r="C136" s="19"/>
      <c r="D136" s="21" t="s">
        <v>208</v>
      </c>
      <c r="E136" s="19"/>
      <c r="F136" s="19"/>
      <c r="G136" s="19"/>
      <c r="H136" s="29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0" customHeight="1">
      <c r="A137" s="22" t="s">
        <v>209</v>
      </c>
      <c r="B137" s="23" t="s">
        <v>9</v>
      </c>
      <c r="C137" s="23" t="s">
        <v>26</v>
      </c>
      <c r="D137" s="103" t="s">
        <v>36</v>
      </c>
      <c r="E137" s="26" t="s">
        <v>12</v>
      </c>
      <c r="F137" s="35" t="s">
        <v>28</v>
      </c>
      <c r="G137" s="26" t="s">
        <v>210</v>
      </c>
      <c r="H137" s="27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0" customHeight="1">
      <c r="A138" s="13"/>
      <c r="B138" s="14"/>
      <c r="C138" s="14"/>
      <c r="D138" s="48" t="s">
        <v>38</v>
      </c>
      <c r="E138" s="14"/>
      <c r="F138" s="14"/>
      <c r="G138" s="14"/>
      <c r="H138" s="17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0" customHeight="1">
      <c r="A139" s="18"/>
      <c r="B139" s="19"/>
      <c r="C139" s="19"/>
      <c r="D139" s="28" t="s">
        <v>211</v>
      </c>
      <c r="E139" s="19"/>
      <c r="F139" s="19"/>
      <c r="G139" s="19"/>
      <c r="H139" s="29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0" customHeight="1">
      <c r="A140" s="22" t="s">
        <v>212</v>
      </c>
      <c r="B140" s="23" t="s">
        <v>9</v>
      </c>
      <c r="C140" s="23" t="s">
        <v>26</v>
      </c>
      <c r="D140" s="31" t="s">
        <v>213</v>
      </c>
      <c r="E140" s="26" t="s">
        <v>12</v>
      </c>
      <c r="F140" s="23" t="s">
        <v>43</v>
      </c>
      <c r="G140" s="26" t="s">
        <v>214</v>
      </c>
      <c r="H140" s="27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0" customHeight="1">
      <c r="A141" s="13"/>
      <c r="B141" s="14"/>
      <c r="C141" s="14"/>
      <c r="D141" s="16" t="s">
        <v>215</v>
      </c>
      <c r="E141" s="14"/>
      <c r="F141" s="14"/>
      <c r="G141" s="14"/>
      <c r="H141" s="17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0" customHeight="1">
      <c r="A142" s="13"/>
      <c r="B142" s="14"/>
      <c r="C142" s="14"/>
      <c r="D142" s="16" t="s">
        <v>216</v>
      </c>
      <c r="E142" s="14"/>
      <c r="F142" s="14"/>
      <c r="G142" s="14"/>
      <c r="H142" s="17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0" customHeight="1">
      <c r="A143" s="18"/>
      <c r="B143" s="19"/>
      <c r="C143" s="19"/>
      <c r="D143" s="45" t="s">
        <v>217</v>
      </c>
      <c r="E143" s="19"/>
      <c r="F143" s="19"/>
      <c r="G143" s="19"/>
      <c r="H143" s="29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0" customHeight="1">
      <c r="A144" s="34" t="s">
        <v>218</v>
      </c>
      <c r="B144" s="35" t="s">
        <v>9</v>
      </c>
      <c r="C144" s="35" t="s">
        <v>219</v>
      </c>
      <c r="D144" s="43" t="s">
        <v>220</v>
      </c>
      <c r="E144" s="37" t="s">
        <v>12</v>
      </c>
      <c r="F144" s="35" t="s">
        <v>28</v>
      </c>
      <c r="G144" s="46" t="s">
        <v>221</v>
      </c>
      <c r="H144" s="27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0" customHeight="1">
      <c r="A145" s="13"/>
      <c r="B145" s="14"/>
      <c r="C145" s="14"/>
      <c r="D145" s="41" t="s">
        <v>69</v>
      </c>
      <c r="E145" s="14"/>
      <c r="F145" s="14"/>
      <c r="G145" s="14"/>
      <c r="H145" s="17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0" customHeight="1">
      <c r="A146" s="13"/>
      <c r="B146" s="14"/>
      <c r="C146" s="14"/>
      <c r="D146" s="41" t="s">
        <v>222</v>
      </c>
      <c r="E146" s="14"/>
      <c r="F146" s="14"/>
      <c r="G146" s="14"/>
      <c r="H146" s="17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0" customHeight="1">
      <c r="A147" s="13"/>
      <c r="B147" s="14"/>
      <c r="C147" s="14"/>
      <c r="D147" s="41" t="s">
        <v>223</v>
      </c>
      <c r="E147" s="14"/>
      <c r="F147" s="14"/>
      <c r="G147" s="14"/>
      <c r="H147" s="17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0" customHeight="1">
      <c r="A148" s="18"/>
      <c r="B148" s="19"/>
      <c r="C148" s="19"/>
      <c r="D148" s="42" t="s">
        <v>224</v>
      </c>
      <c r="E148" s="19"/>
      <c r="F148" s="19"/>
      <c r="G148" s="19"/>
      <c r="H148" s="29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0" customHeight="1">
      <c r="A149" s="34" t="s">
        <v>225</v>
      </c>
      <c r="B149" s="35" t="s">
        <v>137</v>
      </c>
      <c r="C149" s="35" t="s">
        <v>219</v>
      </c>
      <c r="D149" s="90" t="s">
        <v>226</v>
      </c>
      <c r="E149" s="37" t="s">
        <v>12</v>
      </c>
      <c r="F149" s="35" t="s">
        <v>168</v>
      </c>
      <c r="G149" s="32" t="s">
        <v>227</v>
      </c>
      <c r="H149" s="27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0" customHeight="1">
      <c r="A150" s="13"/>
      <c r="B150" s="14"/>
      <c r="C150" s="14"/>
      <c r="D150" s="55" t="s">
        <v>228</v>
      </c>
      <c r="E150" s="14"/>
      <c r="F150" s="14"/>
      <c r="G150" s="14"/>
      <c r="H150" s="17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0" customHeight="1">
      <c r="A151" s="13"/>
      <c r="B151" s="14"/>
      <c r="C151" s="14"/>
      <c r="D151" s="55" t="s">
        <v>229</v>
      </c>
      <c r="E151" s="14"/>
      <c r="F151" s="14"/>
      <c r="G151" s="14"/>
      <c r="H151" s="17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0" customHeight="1">
      <c r="A152" s="13"/>
      <c r="B152" s="14"/>
      <c r="C152" s="14"/>
      <c r="D152" s="55" t="s">
        <v>230</v>
      </c>
      <c r="E152" s="14"/>
      <c r="F152" s="14"/>
      <c r="G152" s="14"/>
      <c r="H152" s="17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0" customHeight="1">
      <c r="A153" s="13"/>
      <c r="B153" s="14"/>
      <c r="C153" s="14"/>
      <c r="D153" s="55" t="s">
        <v>231</v>
      </c>
      <c r="E153" s="14"/>
      <c r="F153" s="14"/>
      <c r="G153" s="14"/>
      <c r="H153" s="17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0" customHeight="1">
      <c r="A154" s="13"/>
      <c r="B154" s="14"/>
      <c r="C154" s="14"/>
      <c r="D154" s="55" t="s">
        <v>232</v>
      </c>
      <c r="E154" s="14"/>
      <c r="F154" s="14"/>
      <c r="G154" s="14"/>
      <c r="H154" s="17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0" customHeight="1">
      <c r="A155" s="13"/>
      <c r="B155" s="14"/>
      <c r="C155" s="14"/>
      <c r="D155" s="55" t="s">
        <v>233</v>
      </c>
      <c r="E155" s="14"/>
      <c r="F155" s="14"/>
      <c r="G155" s="14"/>
      <c r="H155" s="17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0" customHeight="1">
      <c r="A156" s="13"/>
      <c r="B156" s="14"/>
      <c r="C156" s="14"/>
      <c r="D156" s="55" t="s">
        <v>234</v>
      </c>
      <c r="E156" s="14"/>
      <c r="F156" s="14"/>
      <c r="G156" s="14"/>
      <c r="H156" s="17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0" customHeight="1">
      <c r="A157" s="13"/>
      <c r="B157" s="14"/>
      <c r="C157" s="14"/>
      <c r="D157" s="55" t="s">
        <v>16</v>
      </c>
      <c r="E157" s="14"/>
      <c r="F157" s="14"/>
      <c r="G157" s="14"/>
      <c r="H157" s="17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0" customHeight="1">
      <c r="A158" s="13"/>
      <c r="B158" s="14"/>
      <c r="C158" s="14"/>
      <c r="D158" s="55" t="s">
        <v>235</v>
      </c>
      <c r="E158" s="14"/>
      <c r="F158" s="14"/>
      <c r="G158" s="14"/>
      <c r="H158" s="17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0" customHeight="1">
      <c r="A159" s="13"/>
      <c r="B159" s="14"/>
      <c r="C159" s="14"/>
      <c r="D159" s="55" t="s">
        <v>236</v>
      </c>
      <c r="E159" s="14"/>
      <c r="F159" s="14"/>
      <c r="G159" s="14"/>
      <c r="H159" s="17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0" customHeight="1">
      <c r="A160" s="18"/>
      <c r="B160" s="19"/>
      <c r="C160" s="19"/>
      <c r="D160" s="92" t="s">
        <v>208</v>
      </c>
      <c r="E160" s="19"/>
      <c r="F160" s="19"/>
      <c r="G160" s="19"/>
      <c r="H160" s="29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0" customHeight="1">
      <c r="A161" s="50" t="s">
        <v>237</v>
      </c>
      <c r="B161" s="11" t="s">
        <v>137</v>
      </c>
      <c r="C161" s="11" t="s">
        <v>65</v>
      </c>
      <c r="D161" s="9" t="s">
        <v>238</v>
      </c>
      <c r="E161" s="52" t="s">
        <v>12</v>
      </c>
      <c r="F161" s="11" t="s">
        <v>43</v>
      </c>
      <c r="G161" s="88" t="s">
        <v>239</v>
      </c>
      <c r="H161" s="5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0" customHeight="1">
      <c r="A162" s="13"/>
      <c r="B162" s="14"/>
      <c r="C162" s="14"/>
      <c r="D162" s="55" t="s">
        <v>240</v>
      </c>
      <c r="E162" s="14"/>
      <c r="F162" s="14"/>
      <c r="G162" s="14"/>
      <c r="H162" s="17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0" customHeight="1">
      <c r="A163" s="18"/>
      <c r="B163" s="19"/>
      <c r="C163" s="19"/>
      <c r="D163" s="92" t="s">
        <v>46</v>
      </c>
      <c r="E163" s="19"/>
      <c r="F163" s="19"/>
      <c r="G163" s="19"/>
      <c r="H163" s="29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0" customHeight="1">
      <c r="A164" s="6" t="s">
        <v>241</v>
      </c>
      <c r="B164" s="7" t="s">
        <v>9</v>
      </c>
      <c r="C164" s="7" t="s">
        <v>65</v>
      </c>
      <c r="D164" s="80" t="s">
        <v>242</v>
      </c>
      <c r="E164" s="104" t="s">
        <v>12</v>
      </c>
      <c r="F164" s="7" t="s">
        <v>28</v>
      </c>
      <c r="G164" s="10" t="s">
        <v>243</v>
      </c>
      <c r="H164" s="5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0" customHeight="1">
      <c r="A165" s="13"/>
      <c r="B165" s="14"/>
      <c r="C165" s="14"/>
      <c r="D165" s="16" t="s">
        <v>244</v>
      </c>
      <c r="E165" s="14"/>
      <c r="F165" s="14"/>
      <c r="G165" s="14"/>
      <c r="H165" s="17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0" customHeight="1">
      <c r="A166" s="18"/>
      <c r="B166" s="19"/>
      <c r="C166" s="19"/>
      <c r="D166" s="21" t="s">
        <v>46</v>
      </c>
      <c r="E166" s="19"/>
      <c r="F166" s="19"/>
      <c r="G166" s="19"/>
      <c r="H166" s="29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0" customHeight="1">
      <c r="A167" s="22" t="s">
        <v>245</v>
      </c>
      <c r="B167" s="23" t="s">
        <v>9</v>
      </c>
      <c r="C167" s="23" t="s">
        <v>26</v>
      </c>
      <c r="D167" s="31" t="s">
        <v>246</v>
      </c>
      <c r="E167" s="26" t="s">
        <v>12</v>
      </c>
      <c r="F167" s="58" t="s">
        <v>13</v>
      </c>
      <c r="G167" s="44" t="s">
        <v>247</v>
      </c>
      <c r="H167" s="57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0" customHeight="1">
      <c r="A168" s="13"/>
      <c r="B168" s="14"/>
      <c r="C168" s="14"/>
      <c r="D168" s="16" t="s">
        <v>248</v>
      </c>
      <c r="E168" s="14"/>
      <c r="F168" s="14"/>
      <c r="G168" s="14"/>
      <c r="H168" s="17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0" customHeight="1">
      <c r="A169" s="13"/>
      <c r="B169" s="14"/>
      <c r="C169" s="14"/>
      <c r="D169" s="16" t="s">
        <v>249</v>
      </c>
      <c r="E169" s="14"/>
      <c r="F169" s="14"/>
      <c r="G169" s="14"/>
      <c r="H169" s="17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0" customHeight="1">
      <c r="A170" s="13"/>
      <c r="B170" s="14"/>
      <c r="C170" s="14"/>
      <c r="D170" s="16" t="s">
        <v>250</v>
      </c>
      <c r="E170" s="14"/>
      <c r="F170" s="14"/>
      <c r="G170" s="14"/>
      <c r="H170" s="17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0" customHeight="1">
      <c r="A171" s="18"/>
      <c r="B171" s="19"/>
      <c r="C171" s="19"/>
      <c r="D171" s="28" t="s">
        <v>52</v>
      </c>
      <c r="E171" s="19"/>
      <c r="F171" s="19"/>
      <c r="G171" s="19"/>
      <c r="H171" s="29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0" customHeight="1">
      <c r="A172" s="34" t="s">
        <v>251</v>
      </c>
      <c r="B172" s="35" t="s">
        <v>137</v>
      </c>
      <c r="C172" s="35" t="s">
        <v>252</v>
      </c>
      <c r="D172" s="36" t="s">
        <v>253</v>
      </c>
      <c r="E172" s="37" t="s">
        <v>12</v>
      </c>
      <c r="F172" s="38" t="s">
        <v>13</v>
      </c>
      <c r="G172" s="46" t="s">
        <v>254</v>
      </c>
      <c r="H172" s="8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0" customHeight="1">
      <c r="A173" s="13"/>
      <c r="B173" s="14"/>
      <c r="C173" s="14"/>
      <c r="D173" s="41" t="s">
        <v>255</v>
      </c>
      <c r="E173" s="14"/>
      <c r="F173" s="14"/>
      <c r="G173" s="14"/>
      <c r="H173" s="17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0" customHeight="1">
      <c r="A174" s="13"/>
      <c r="B174" s="14"/>
      <c r="C174" s="14"/>
      <c r="D174" s="41" t="s">
        <v>256</v>
      </c>
      <c r="E174" s="14"/>
      <c r="F174" s="14"/>
      <c r="G174" s="14"/>
      <c r="H174" s="17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0" customHeight="1">
      <c r="A175" s="18"/>
      <c r="B175" s="19"/>
      <c r="C175" s="19"/>
      <c r="D175" s="42" t="s">
        <v>257</v>
      </c>
      <c r="E175" s="19"/>
      <c r="F175" s="19"/>
      <c r="G175" s="19"/>
      <c r="H175" s="29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0" customHeight="1">
      <c r="A176" s="22" t="s">
        <v>258</v>
      </c>
      <c r="B176" s="23" t="s">
        <v>9</v>
      </c>
      <c r="C176" s="23" t="s">
        <v>180</v>
      </c>
      <c r="D176" s="31" t="s">
        <v>259</v>
      </c>
      <c r="E176" s="26" t="s">
        <v>12</v>
      </c>
      <c r="F176" s="58" t="s">
        <v>13</v>
      </c>
      <c r="G176" s="26" t="s">
        <v>260</v>
      </c>
      <c r="H176" s="8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0" customHeight="1">
      <c r="A177" s="13"/>
      <c r="B177" s="14"/>
      <c r="C177" s="14"/>
      <c r="D177" s="16" t="s">
        <v>115</v>
      </c>
      <c r="E177" s="14"/>
      <c r="F177" s="14"/>
      <c r="G177" s="14"/>
      <c r="H177" s="17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0" customHeight="1">
      <c r="A178" s="13"/>
      <c r="B178" s="14"/>
      <c r="C178" s="14"/>
      <c r="D178" s="94" t="s">
        <v>261</v>
      </c>
      <c r="E178" s="14"/>
      <c r="F178" s="14"/>
      <c r="G178" s="14"/>
      <c r="H178" s="17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0" customHeight="1">
      <c r="A179" s="18"/>
      <c r="B179" s="19"/>
      <c r="C179" s="19"/>
      <c r="D179" s="28" t="s">
        <v>262</v>
      </c>
      <c r="E179" s="19"/>
      <c r="F179" s="19"/>
      <c r="G179" s="19"/>
      <c r="H179" s="29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0" customHeight="1">
      <c r="A180" s="22" t="s">
        <v>263</v>
      </c>
      <c r="B180" s="23" t="s">
        <v>9</v>
      </c>
      <c r="C180" s="23" t="s">
        <v>19</v>
      </c>
      <c r="D180" s="24" t="s">
        <v>199</v>
      </c>
      <c r="E180" s="26" t="s">
        <v>12</v>
      </c>
      <c r="F180" s="58" t="s">
        <v>28</v>
      </c>
      <c r="G180" s="44" t="s">
        <v>264</v>
      </c>
      <c r="H180" s="56" t="s">
        <v>163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0" customHeight="1">
      <c r="A181" s="13"/>
      <c r="B181" s="14"/>
      <c r="C181" s="14"/>
      <c r="D181" s="16" t="s">
        <v>265</v>
      </c>
      <c r="E181" s="14"/>
      <c r="F181" s="14"/>
      <c r="G181" s="14"/>
      <c r="H181" s="17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0" customHeight="1">
      <c r="A182" s="13"/>
      <c r="B182" s="14"/>
      <c r="C182" s="14"/>
      <c r="D182" s="94" t="s">
        <v>266</v>
      </c>
      <c r="E182" s="14"/>
      <c r="F182" s="14"/>
      <c r="G182" s="14"/>
      <c r="H182" s="17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0" customHeight="1">
      <c r="A183" s="13"/>
      <c r="B183" s="14"/>
      <c r="C183" s="14"/>
      <c r="D183" s="16" t="s">
        <v>267</v>
      </c>
      <c r="E183" s="14"/>
      <c r="F183" s="14"/>
      <c r="G183" s="14"/>
      <c r="H183" s="17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0" customHeight="1">
      <c r="A184" s="13"/>
      <c r="B184" s="14"/>
      <c r="C184" s="14"/>
      <c r="D184" s="33" t="s">
        <v>261</v>
      </c>
      <c r="E184" s="14"/>
      <c r="F184" s="14"/>
      <c r="G184" s="14"/>
      <c r="H184" s="17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0" customHeight="1">
      <c r="A185" s="18"/>
      <c r="B185" s="19"/>
      <c r="C185" s="19"/>
      <c r="D185" s="28" t="s">
        <v>268</v>
      </c>
      <c r="E185" s="19"/>
      <c r="F185" s="19"/>
      <c r="G185" s="19"/>
      <c r="H185" s="29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0" customHeight="1">
      <c r="A186" s="105" t="s">
        <v>269</v>
      </c>
      <c r="B186" s="23" t="s">
        <v>9</v>
      </c>
      <c r="C186" s="23" t="s">
        <v>65</v>
      </c>
      <c r="D186" s="31" t="s">
        <v>270</v>
      </c>
      <c r="E186" s="26" t="s">
        <v>12</v>
      </c>
      <c r="F186" s="58" t="s">
        <v>43</v>
      </c>
      <c r="G186" s="26" t="s">
        <v>271</v>
      </c>
      <c r="H186" s="27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0" customHeight="1">
      <c r="A187" s="13"/>
      <c r="B187" s="14"/>
      <c r="C187" s="14"/>
      <c r="D187" s="33" t="s">
        <v>272</v>
      </c>
      <c r="E187" s="14"/>
      <c r="F187" s="14"/>
      <c r="G187" s="14"/>
      <c r="H187" s="17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0" customHeight="1">
      <c r="A188" s="18"/>
      <c r="B188" s="19"/>
      <c r="C188" s="19"/>
      <c r="D188" s="21" t="s">
        <v>46</v>
      </c>
      <c r="E188" s="19"/>
      <c r="F188" s="19"/>
      <c r="G188" s="19"/>
      <c r="H188" s="29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0" customHeight="1">
      <c r="A189" s="22" t="s">
        <v>273</v>
      </c>
      <c r="B189" s="23" t="s">
        <v>9</v>
      </c>
      <c r="C189" s="23" t="s">
        <v>180</v>
      </c>
      <c r="D189" s="24" t="s">
        <v>274</v>
      </c>
      <c r="E189" s="26" t="s">
        <v>12</v>
      </c>
      <c r="F189" s="58" t="s">
        <v>28</v>
      </c>
      <c r="G189" s="44" t="s">
        <v>275</v>
      </c>
      <c r="H189" s="27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0" customHeight="1">
      <c r="A190" s="13"/>
      <c r="B190" s="14"/>
      <c r="C190" s="14"/>
      <c r="D190" s="16" t="s">
        <v>276</v>
      </c>
      <c r="E190" s="14"/>
      <c r="F190" s="14"/>
      <c r="G190" s="14"/>
      <c r="H190" s="17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0" customHeight="1">
      <c r="A191" s="18"/>
      <c r="B191" s="19"/>
      <c r="C191" s="19"/>
      <c r="D191" s="28" t="s">
        <v>277</v>
      </c>
      <c r="E191" s="19"/>
      <c r="F191" s="19"/>
      <c r="G191" s="19"/>
      <c r="H191" s="29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0" customHeight="1">
      <c r="A192" s="22" t="s">
        <v>278</v>
      </c>
      <c r="B192" s="58" t="s">
        <v>9</v>
      </c>
      <c r="C192" s="58" t="s">
        <v>35</v>
      </c>
      <c r="D192" s="31" t="s">
        <v>279</v>
      </c>
      <c r="E192" s="26" t="s">
        <v>12</v>
      </c>
      <c r="F192" s="58" t="s">
        <v>13</v>
      </c>
      <c r="G192" s="106" t="s">
        <v>280</v>
      </c>
      <c r="H192" s="57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0" customHeight="1">
      <c r="A193" s="13"/>
      <c r="B193" s="14"/>
      <c r="C193" s="14"/>
      <c r="D193" s="33" t="s">
        <v>33</v>
      </c>
      <c r="E193" s="14"/>
      <c r="F193" s="14"/>
      <c r="G193" s="14"/>
      <c r="H193" s="17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0" customHeight="1">
      <c r="A194" s="18"/>
      <c r="B194" s="19"/>
      <c r="C194" s="19"/>
      <c r="D194" s="21" t="s">
        <v>46</v>
      </c>
      <c r="E194" s="19"/>
      <c r="F194" s="19"/>
      <c r="G194" s="19"/>
      <c r="H194" s="29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0" customHeight="1">
      <c r="A195" s="22" t="s">
        <v>281</v>
      </c>
      <c r="B195" s="23" t="s">
        <v>9</v>
      </c>
      <c r="C195" s="23" t="s">
        <v>10</v>
      </c>
      <c r="D195" s="31" t="s">
        <v>282</v>
      </c>
      <c r="E195" s="26" t="s">
        <v>12</v>
      </c>
      <c r="F195" s="23" t="s">
        <v>43</v>
      </c>
      <c r="G195" s="44" t="s">
        <v>283</v>
      </c>
      <c r="H195" s="57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0" customHeight="1">
      <c r="A196" s="13"/>
      <c r="B196" s="14"/>
      <c r="C196" s="14"/>
      <c r="D196" s="16" t="s">
        <v>284</v>
      </c>
      <c r="E196" s="14"/>
      <c r="F196" s="14"/>
      <c r="G196" s="14"/>
      <c r="H196" s="17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0" customHeight="1">
      <c r="A197" s="18"/>
      <c r="B197" s="19"/>
      <c r="C197" s="19"/>
      <c r="D197" s="28" t="s">
        <v>285</v>
      </c>
      <c r="E197" s="19"/>
      <c r="F197" s="19"/>
      <c r="G197" s="19"/>
      <c r="H197" s="29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0" customHeight="1">
      <c r="A198" s="105" t="s">
        <v>286</v>
      </c>
      <c r="B198" s="23" t="s">
        <v>9</v>
      </c>
      <c r="C198" s="23" t="s">
        <v>10</v>
      </c>
      <c r="D198" s="31" t="s">
        <v>282</v>
      </c>
      <c r="E198" s="26" t="s">
        <v>12</v>
      </c>
      <c r="F198" s="23" t="s">
        <v>28</v>
      </c>
      <c r="G198" s="26" t="s">
        <v>287</v>
      </c>
      <c r="H198" s="57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0" customHeight="1">
      <c r="A199" s="13"/>
      <c r="B199" s="14"/>
      <c r="C199" s="14"/>
      <c r="D199" s="33" t="s">
        <v>69</v>
      </c>
      <c r="E199" s="14"/>
      <c r="F199" s="14"/>
      <c r="G199" s="14"/>
      <c r="H199" s="17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0" customHeight="1">
      <c r="A200" s="13"/>
      <c r="B200" s="14"/>
      <c r="C200" s="14"/>
      <c r="D200" s="33" t="s">
        <v>288</v>
      </c>
      <c r="E200" s="14"/>
      <c r="F200" s="14"/>
      <c r="G200" s="14"/>
      <c r="H200" s="17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0" customHeight="1">
      <c r="A201" s="13"/>
      <c r="B201" s="14"/>
      <c r="C201" s="14"/>
      <c r="D201" s="94" t="s">
        <v>289</v>
      </c>
      <c r="E201" s="14"/>
      <c r="F201" s="14"/>
      <c r="G201" s="14"/>
      <c r="H201" s="17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0" customHeight="1">
      <c r="A202" s="13"/>
      <c r="B202" s="14"/>
      <c r="C202" s="14"/>
      <c r="D202" s="94" t="s">
        <v>46</v>
      </c>
      <c r="E202" s="14"/>
      <c r="F202" s="14"/>
      <c r="G202" s="14"/>
      <c r="H202" s="17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0" customHeight="1">
      <c r="A203" s="13"/>
      <c r="B203" s="14"/>
      <c r="C203" s="14"/>
      <c r="D203" s="33" t="s">
        <v>235</v>
      </c>
      <c r="E203" s="14"/>
      <c r="F203" s="14"/>
      <c r="G203" s="14"/>
      <c r="H203" s="17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0" customHeight="1">
      <c r="A204" s="18"/>
      <c r="B204" s="19"/>
      <c r="C204" s="19"/>
      <c r="D204" s="21" t="s">
        <v>16</v>
      </c>
      <c r="E204" s="19"/>
      <c r="F204" s="19"/>
      <c r="G204" s="19"/>
      <c r="H204" s="29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0" customHeight="1">
      <c r="A205" s="34" t="s">
        <v>290</v>
      </c>
      <c r="B205" s="35" t="s">
        <v>9</v>
      </c>
      <c r="C205" s="35" t="s">
        <v>65</v>
      </c>
      <c r="D205" s="36" t="s">
        <v>291</v>
      </c>
      <c r="E205" s="107" t="s">
        <v>12</v>
      </c>
      <c r="F205" s="35" t="s">
        <v>28</v>
      </c>
      <c r="G205" s="46" t="s">
        <v>292</v>
      </c>
      <c r="H205" s="27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0" customHeight="1">
      <c r="A206" s="13"/>
      <c r="B206" s="14"/>
      <c r="C206" s="14"/>
      <c r="D206" s="41" t="s">
        <v>293</v>
      </c>
      <c r="E206" s="66"/>
      <c r="F206" s="14"/>
      <c r="G206" s="14"/>
      <c r="H206" s="17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0" customHeight="1">
      <c r="A207" s="18"/>
      <c r="B207" s="19"/>
      <c r="C207" s="19"/>
      <c r="D207" s="42" t="s">
        <v>46</v>
      </c>
      <c r="E207" s="70"/>
      <c r="F207" s="19"/>
      <c r="G207" s="19"/>
      <c r="H207" s="29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0" customHeight="1">
      <c r="A208" s="22" t="s">
        <v>294</v>
      </c>
      <c r="B208" s="23" t="s">
        <v>9</v>
      </c>
      <c r="C208" s="35" t="s">
        <v>295</v>
      </c>
      <c r="D208" s="31" t="s">
        <v>199</v>
      </c>
      <c r="E208" s="26" t="s">
        <v>12</v>
      </c>
      <c r="F208" s="23" t="s">
        <v>28</v>
      </c>
      <c r="G208" s="26" t="s">
        <v>296</v>
      </c>
      <c r="H208" s="27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0" customHeight="1">
      <c r="A209" s="13"/>
      <c r="B209" s="14"/>
      <c r="C209" s="14"/>
      <c r="D209" s="16" t="s">
        <v>246</v>
      </c>
      <c r="E209" s="14"/>
      <c r="F209" s="14"/>
      <c r="G209" s="14"/>
      <c r="H209" s="17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0" customHeight="1">
      <c r="A210" s="13"/>
      <c r="B210" s="14"/>
      <c r="C210" s="14"/>
      <c r="D210" s="33" t="s">
        <v>297</v>
      </c>
      <c r="E210" s="14"/>
      <c r="F210" s="14"/>
      <c r="G210" s="14"/>
      <c r="H210" s="17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0" customHeight="1">
      <c r="A211" s="13"/>
      <c r="B211" s="14"/>
      <c r="C211" s="14"/>
      <c r="D211" s="16" t="s">
        <v>298</v>
      </c>
      <c r="E211" s="14"/>
      <c r="F211" s="14"/>
      <c r="G211" s="14"/>
      <c r="H211" s="17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0" customHeight="1">
      <c r="A212" s="18"/>
      <c r="B212" s="19"/>
      <c r="C212" s="19"/>
      <c r="D212" s="21" t="s">
        <v>277</v>
      </c>
      <c r="E212" s="19"/>
      <c r="F212" s="19"/>
      <c r="G212" s="19"/>
      <c r="H212" s="29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0" customHeight="1">
      <c r="A213" s="105" t="s">
        <v>299</v>
      </c>
      <c r="B213" s="35" t="s">
        <v>9</v>
      </c>
      <c r="C213" s="108" t="s">
        <v>252</v>
      </c>
      <c r="D213" s="95" t="s">
        <v>300</v>
      </c>
      <c r="E213" s="81" t="s">
        <v>12</v>
      </c>
      <c r="F213" s="58" t="s">
        <v>28</v>
      </c>
      <c r="G213" s="23" t="s">
        <v>301</v>
      </c>
      <c r="H213" s="57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0" customHeight="1">
      <c r="A214" s="13"/>
      <c r="B214" s="14"/>
      <c r="C214" s="14"/>
      <c r="D214" s="94" t="s">
        <v>302</v>
      </c>
      <c r="E214" s="14"/>
      <c r="F214" s="14"/>
      <c r="G214" s="14"/>
      <c r="H214" s="17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0" customHeight="1">
      <c r="A215" s="18"/>
      <c r="B215" s="19"/>
      <c r="C215" s="19"/>
      <c r="D215" s="96" t="s">
        <v>303</v>
      </c>
      <c r="E215" s="19"/>
      <c r="F215" s="19"/>
      <c r="G215" s="19"/>
      <c r="H215" s="29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0" customHeight="1">
      <c r="A216" s="22" t="s">
        <v>304</v>
      </c>
      <c r="B216" s="23" t="s">
        <v>9</v>
      </c>
      <c r="C216" s="23" t="s">
        <v>305</v>
      </c>
      <c r="D216" s="31" t="s">
        <v>306</v>
      </c>
      <c r="E216" s="30" t="s">
        <v>12</v>
      </c>
      <c r="F216" s="58" t="s">
        <v>43</v>
      </c>
      <c r="G216" s="26" t="s">
        <v>307</v>
      </c>
      <c r="H216" s="57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0" customHeight="1">
      <c r="A217" s="13"/>
      <c r="B217" s="14"/>
      <c r="C217" s="14"/>
      <c r="D217" s="16" t="s">
        <v>246</v>
      </c>
      <c r="E217" s="14"/>
      <c r="F217" s="14"/>
      <c r="G217" s="14"/>
      <c r="H217" s="17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0" customHeight="1">
      <c r="A218" s="18"/>
      <c r="B218" s="19"/>
      <c r="C218" s="19"/>
      <c r="D218" s="21" t="s">
        <v>46</v>
      </c>
      <c r="E218" s="19"/>
      <c r="F218" s="19"/>
      <c r="G218" s="19"/>
      <c r="H218" s="29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0" customHeight="1">
      <c r="A219" s="109" t="s">
        <v>308</v>
      </c>
      <c r="B219" s="35" t="s">
        <v>9</v>
      </c>
      <c r="C219" s="35" t="s">
        <v>10</v>
      </c>
      <c r="D219" s="83" t="s">
        <v>309</v>
      </c>
      <c r="E219" s="37" t="s">
        <v>12</v>
      </c>
      <c r="F219" s="110" t="s">
        <v>13</v>
      </c>
      <c r="G219" s="110" t="s">
        <v>310</v>
      </c>
      <c r="H219" s="27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0" customHeight="1">
      <c r="A220" s="64"/>
      <c r="B220" s="14"/>
      <c r="C220" s="14"/>
      <c r="D220" s="85" t="s">
        <v>311</v>
      </c>
      <c r="E220" s="14"/>
      <c r="F220" s="15"/>
      <c r="G220" s="15"/>
      <c r="H220" s="17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0" customHeight="1">
      <c r="A221" s="68"/>
      <c r="B221" s="19"/>
      <c r="C221" s="19"/>
      <c r="D221" s="86" t="s">
        <v>312</v>
      </c>
      <c r="E221" s="19"/>
      <c r="F221" s="20"/>
      <c r="G221" s="20"/>
      <c r="H221" s="29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0" customHeight="1">
      <c r="A222" s="6" t="s">
        <v>313</v>
      </c>
      <c r="B222" s="7" t="s">
        <v>9</v>
      </c>
      <c r="C222" s="7" t="s">
        <v>65</v>
      </c>
      <c r="D222" s="111" t="s">
        <v>314</v>
      </c>
      <c r="E222" s="104" t="s">
        <v>12</v>
      </c>
      <c r="F222" s="7" t="s">
        <v>28</v>
      </c>
      <c r="G222" s="7" t="s">
        <v>315</v>
      </c>
      <c r="H222" s="5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0" customHeight="1">
      <c r="A223" s="13"/>
      <c r="B223" s="14"/>
      <c r="C223" s="14"/>
      <c r="D223" s="94" t="s">
        <v>316</v>
      </c>
      <c r="E223" s="14"/>
      <c r="F223" s="14"/>
      <c r="G223" s="14"/>
      <c r="H223" s="17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0" customHeight="1">
      <c r="A224" s="18"/>
      <c r="B224" s="19"/>
      <c r="C224" s="19"/>
      <c r="D224" s="112" t="s">
        <v>46</v>
      </c>
      <c r="E224" s="19"/>
      <c r="F224" s="19"/>
      <c r="G224" s="19"/>
      <c r="H224" s="29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0" customHeight="1">
      <c r="A225" s="34" t="s">
        <v>317</v>
      </c>
      <c r="B225" s="35" t="s">
        <v>137</v>
      </c>
      <c r="C225" s="35" t="s">
        <v>65</v>
      </c>
      <c r="D225" s="43" t="s">
        <v>318</v>
      </c>
      <c r="E225" s="37" t="s">
        <v>12</v>
      </c>
      <c r="F225" s="38" t="s">
        <v>28</v>
      </c>
      <c r="G225" s="38" t="s">
        <v>319</v>
      </c>
      <c r="H225" s="27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0" customHeight="1">
      <c r="A226" s="13"/>
      <c r="B226" s="14"/>
      <c r="C226" s="14"/>
      <c r="D226" s="41" t="s">
        <v>69</v>
      </c>
      <c r="E226" s="14"/>
      <c r="F226" s="14"/>
      <c r="G226" s="14"/>
      <c r="H226" s="17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0" customHeight="1">
      <c r="A227" s="13"/>
      <c r="B227" s="14"/>
      <c r="C227" s="14"/>
      <c r="D227" s="41" t="s">
        <v>320</v>
      </c>
      <c r="E227" s="14"/>
      <c r="F227" s="14"/>
      <c r="G227" s="14"/>
      <c r="H227" s="17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0" customHeight="1">
      <c r="A228" s="13"/>
      <c r="B228" s="14"/>
      <c r="C228" s="14"/>
      <c r="D228" s="41" t="s">
        <v>124</v>
      </c>
      <c r="E228" s="14"/>
      <c r="F228" s="14"/>
      <c r="G228" s="14"/>
      <c r="H228" s="17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0" customHeight="1">
      <c r="A229" s="18"/>
      <c r="B229" s="19"/>
      <c r="C229" s="19"/>
      <c r="D229" s="47" t="s">
        <v>46</v>
      </c>
      <c r="E229" s="19"/>
      <c r="F229" s="19"/>
      <c r="G229" s="19"/>
      <c r="H229" s="29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0" customHeight="1">
      <c r="A230" s="22" t="s">
        <v>321</v>
      </c>
      <c r="B230" s="23" t="s">
        <v>9</v>
      </c>
      <c r="C230" s="23" t="s">
        <v>19</v>
      </c>
      <c r="D230" s="80" t="s">
        <v>322</v>
      </c>
      <c r="E230" s="26" t="s">
        <v>12</v>
      </c>
      <c r="F230" s="23" t="s">
        <v>13</v>
      </c>
      <c r="G230" s="26" t="s">
        <v>323</v>
      </c>
      <c r="H230" s="27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0" customHeight="1">
      <c r="A231" s="13"/>
      <c r="B231" s="14"/>
      <c r="C231" s="14"/>
      <c r="D231" s="94" t="s">
        <v>324</v>
      </c>
      <c r="E231" s="14"/>
      <c r="F231" s="14"/>
      <c r="G231" s="14"/>
      <c r="H231" s="17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0" customHeight="1">
      <c r="A232" s="18"/>
      <c r="B232" s="19"/>
      <c r="C232" s="19"/>
      <c r="D232" s="21" t="s">
        <v>325</v>
      </c>
      <c r="E232" s="19"/>
      <c r="F232" s="19"/>
      <c r="G232" s="19"/>
      <c r="H232" s="29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0" customHeight="1">
      <c r="A233" s="34" t="s">
        <v>326</v>
      </c>
      <c r="B233" s="35" t="s">
        <v>9</v>
      </c>
      <c r="C233" s="35" t="s">
        <v>65</v>
      </c>
      <c r="D233" s="36" t="s">
        <v>327</v>
      </c>
      <c r="E233" s="37" t="s">
        <v>12</v>
      </c>
      <c r="F233" s="38" t="s">
        <v>13</v>
      </c>
      <c r="G233" s="39" t="s">
        <v>328</v>
      </c>
      <c r="H233" s="84" t="s">
        <v>163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0" customHeight="1">
      <c r="A234" s="18"/>
      <c r="B234" s="19"/>
      <c r="C234" s="19"/>
      <c r="D234" s="113" t="s">
        <v>329</v>
      </c>
      <c r="E234" s="19"/>
      <c r="F234" s="19"/>
      <c r="G234" s="19"/>
      <c r="H234" s="29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0" customHeight="1">
      <c r="A235" s="22" t="s">
        <v>330</v>
      </c>
      <c r="B235" s="23" t="s">
        <v>9</v>
      </c>
      <c r="C235" s="23" t="s">
        <v>331</v>
      </c>
      <c r="D235" s="31" t="s">
        <v>332</v>
      </c>
      <c r="E235" s="26" t="s">
        <v>12</v>
      </c>
      <c r="F235" s="58" t="s">
        <v>13</v>
      </c>
      <c r="G235" s="44" t="s">
        <v>333</v>
      </c>
      <c r="H235" s="57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0" customHeight="1">
      <c r="A236" s="18"/>
      <c r="B236" s="19"/>
      <c r="C236" s="19"/>
      <c r="D236" s="45" t="s">
        <v>52</v>
      </c>
      <c r="E236" s="19"/>
      <c r="F236" s="19"/>
      <c r="G236" s="19"/>
      <c r="H236" s="29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0" customHeight="1">
      <c r="A237" s="34" t="s">
        <v>334</v>
      </c>
      <c r="B237" s="35" t="s">
        <v>137</v>
      </c>
      <c r="C237" s="114" t="s">
        <v>19</v>
      </c>
      <c r="D237" s="43" t="s">
        <v>318</v>
      </c>
      <c r="E237" s="115" t="s">
        <v>12</v>
      </c>
      <c r="F237" s="38" t="s">
        <v>28</v>
      </c>
      <c r="G237" s="116"/>
      <c r="H237" s="57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0" customHeight="1">
      <c r="A238" s="13"/>
      <c r="B238" s="14"/>
      <c r="C238" s="15"/>
      <c r="D238" s="41" t="s">
        <v>38</v>
      </c>
      <c r="E238" s="66"/>
      <c r="F238" s="14"/>
      <c r="G238" s="14"/>
      <c r="H238" s="17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0" customHeight="1">
      <c r="A239" s="13"/>
      <c r="B239" s="14"/>
      <c r="C239" s="15"/>
      <c r="D239" s="41" t="s">
        <v>335</v>
      </c>
      <c r="E239" s="66"/>
      <c r="F239" s="14"/>
      <c r="G239" s="14"/>
      <c r="H239" s="17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0" customHeight="1">
      <c r="A240" s="13"/>
      <c r="B240" s="14"/>
      <c r="C240" s="15"/>
      <c r="D240" s="41" t="s">
        <v>336</v>
      </c>
      <c r="E240" s="66"/>
      <c r="F240" s="14"/>
      <c r="G240" s="14"/>
      <c r="H240" s="17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0" customHeight="1">
      <c r="A241" s="13"/>
      <c r="B241" s="14"/>
      <c r="C241" s="15"/>
      <c r="D241" s="41" t="s">
        <v>337</v>
      </c>
      <c r="E241" s="66"/>
      <c r="F241" s="14"/>
      <c r="G241" s="14"/>
      <c r="H241" s="17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0" customHeight="1">
      <c r="A242" s="13"/>
      <c r="B242" s="14"/>
      <c r="C242" s="15"/>
      <c r="D242" s="41" t="s">
        <v>338</v>
      </c>
      <c r="E242" s="66"/>
      <c r="F242" s="14"/>
      <c r="G242" s="14"/>
      <c r="H242" s="17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0" customHeight="1">
      <c r="A243" s="18"/>
      <c r="B243" s="19"/>
      <c r="C243" s="20"/>
      <c r="D243" s="47" t="s">
        <v>46</v>
      </c>
      <c r="E243" s="70"/>
      <c r="F243" s="19"/>
      <c r="G243" s="19"/>
      <c r="H243" s="29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0" customHeight="1">
      <c r="A244" s="22" t="s">
        <v>339</v>
      </c>
      <c r="B244" s="23" t="s">
        <v>9</v>
      </c>
      <c r="C244" s="23" t="s">
        <v>35</v>
      </c>
      <c r="D244" s="36" t="s">
        <v>340</v>
      </c>
      <c r="E244" s="26" t="s">
        <v>12</v>
      </c>
      <c r="F244" s="38" t="s">
        <v>28</v>
      </c>
      <c r="G244" s="117" t="s">
        <v>341</v>
      </c>
      <c r="H244" s="57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0" customHeight="1">
      <c r="A245" s="13"/>
      <c r="B245" s="14"/>
      <c r="C245" s="14"/>
      <c r="D245" s="33" t="s">
        <v>342</v>
      </c>
      <c r="E245" s="14"/>
      <c r="F245" s="14"/>
      <c r="G245" s="14"/>
      <c r="H245" s="17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0" customHeight="1">
      <c r="A246" s="13"/>
      <c r="B246" s="14"/>
      <c r="C246" s="14"/>
      <c r="D246" s="94" t="s">
        <v>343</v>
      </c>
      <c r="E246" s="14"/>
      <c r="F246" s="14"/>
      <c r="G246" s="14"/>
      <c r="H246" s="17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0" customHeight="1">
      <c r="A247" s="13"/>
      <c r="B247" s="14"/>
      <c r="C247" s="14"/>
      <c r="D247" s="16" t="s">
        <v>344</v>
      </c>
      <c r="E247" s="14"/>
      <c r="F247" s="14"/>
      <c r="G247" s="14"/>
      <c r="H247" s="17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0" customHeight="1">
      <c r="A248" s="18"/>
      <c r="B248" s="19"/>
      <c r="C248" s="19"/>
      <c r="D248" s="28" t="s">
        <v>176</v>
      </c>
      <c r="E248" s="19"/>
      <c r="F248" s="19"/>
      <c r="G248" s="19"/>
      <c r="H248" s="29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0" customHeight="1">
      <c r="A249" s="22" t="s">
        <v>345</v>
      </c>
      <c r="B249" s="23" t="s">
        <v>9</v>
      </c>
      <c r="C249" s="23" t="s">
        <v>180</v>
      </c>
      <c r="D249" s="24" t="s">
        <v>346</v>
      </c>
      <c r="E249" s="26" t="s">
        <v>12</v>
      </c>
      <c r="F249" s="58" t="s">
        <v>13</v>
      </c>
      <c r="G249" s="44" t="s">
        <v>347</v>
      </c>
      <c r="H249" s="27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0" customHeight="1">
      <c r="A250" s="13"/>
      <c r="B250" s="14"/>
      <c r="C250" s="14"/>
      <c r="D250" s="16" t="s">
        <v>348</v>
      </c>
      <c r="E250" s="14"/>
      <c r="F250" s="14"/>
      <c r="G250" s="14"/>
      <c r="H250" s="17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0" customHeight="1">
      <c r="A251" s="18"/>
      <c r="B251" s="19"/>
      <c r="C251" s="19"/>
      <c r="D251" s="28" t="s">
        <v>349</v>
      </c>
      <c r="E251" s="19"/>
      <c r="F251" s="19"/>
      <c r="G251" s="19"/>
      <c r="H251" s="29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0" customHeight="1">
      <c r="A252" s="22" t="s">
        <v>350</v>
      </c>
      <c r="B252" s="23" t="s">
        <v>9</v>
      </c>
      <c r="C252" s="23" t="s">
        <v>351</v>
      </c>
      <c r="D252" s="31" t="s">
        <v>69</v>
      </c>
      <c r="E252" s="26" t="s">
        <v>12</v>
      </c>
      <c r="F252" s="58" t="s">
        <v>13</v>
      </c>
      <c r="G252" s="44" t="s">
        <v>352</v>
      </c>
      <c r="H252" s="57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0" customHeight="1">
      <c r="A253" s="13"/>
      <c r="B253" s="14"/>
      <c r="C253" s="14"/>
      <c r="D253" s="16" t="s">
        <v>353</v>
      </c>
      <c r="E253" s="14"/>
      <c r="F253" s="14"/>
      <c r="G253" s="14"/>
      <c r="H253" s="17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0" customHeight="1">
      <c r="A254" s="18"/>
      <c r="B254" s="19"/>
      <c r="C254" s="19"/>
      <c r="D254" s="28" t="s">
        <v>118</v>
      </c>
      <c r="E254" s="19"/>
      <c r="F254" s="19"/>
      <c r="G254" s="19"/>
      <c r="H254" s="29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0" customHeight="1">
      <c r="A255" s="22" t="s">
        <v>354</v>
      </c>
      <c r="B255" s="23" t="s">
        <v>9</v>
      </c>
      <c r="C255" s="23" t="s">
        <v>26</v>
      </c>
      <c r="D255" s="31" t="s">
        <v>27</v>
      </c>
      <c r="E255" s="26" t="s">
        <v>12</v>
      </c>
      <c r="F255" s="58" t="s">
        <v>28</v>
      </c>
      <c r="G255" s="44" t="s">
        <v>355</v>
      </c>
      <c r="H255" s="57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0" customHeight="1">
      <c r="A256" s="13"/>
      <c r="B256" s="14"/>
      <c r="C256" s="14"/>
      <c r="D256" s="16" t="s">
        <v>356</v>
      </c>
      <c r="E256" s="14"/>
      <c r="F256" s="14"/>
      <c r="G256" s="14"/>
      <c r="H256" s="17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0" customHeight="1">
      <c r="A257" s="18"/>
      <c r="B257" s="19"/>
      <c r="C257" s="19"/>
      <c r="D257" s="21" t="s">
        <v>52</v>
      </c>
      <c r="E257" s="19"/>
      <c r="F257" s="19"/>
      <c r="G257" s="19"/>
      <c r="H257" s="29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0" customHeight="1">
      <c r="A258" s="22" t="s">
        <v>357</v>
      </c>
      <c r="B258" s="23" t="s">
        <v>25</v>
      </c>
      <c r="C258" s="23" t="s">
        <v>26</v>
      </c>
      <c r="D258" s="24" t="s">
        <v>358</v>
      </c>
      <c r="E258" s="26" t="s">
        <v>12</v>
      </c>
      <c r="F258" s="58" t="s">
        <v>13</v>
      </c>
      <c r="G258" s="44" t="s">
        <v>359</v>
      </c>
      <c r="H258" s="57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0" customHeight="1">
      <c r="A259" s="13"/>
      <c r="B259" s="14"/>
      <c r="C259" s="14"/>
      <c r="D259" s="16" t="s">
        <v>360</v>
      </c>
      <c r="E259" s="14"/>
      <c r="F259" s="14"/>
      <c r="G259" s="14"/>
      <c r="H259" s="17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0" customHeight="1">
      <c r="A260" s="18"/>
      <c r="B260" s="19"/>
      <c r="C260" s="19"/>
      <c r="D260" s="21" t="s">
        <v>361</v>
      </c>
      <c r="E260" s="19"/>
      <c r="F260" s="19"/>
      <c r="G260" s="19"/>
      <c r="H260" s="29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0" customHeight="1">
      <c r="A261" s="34" t="s">
        <v>362</v>
      </c>
      <c r="B261" s="38" t="s">
        <v>9</v>
      </c>
      <c r="C261" s="108" t="s">
        <v>252</v>
      </c>
      <c r="D261" s="9" t="s">
        <v>363</v>
      </c>
      <c r="E261" s="37" t="s">
        <v>12</v>
      </c>
      <c r="F261" s="38" t="s">
        <v>13</v>
      </c>
      <c r="G261" s="39" t="s">
        <v>364</v>
      </c>
      <c r="H261" s="8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0" customHeight="1">
      <c r="A262" s="13"/>
      <c r="B262" s="14"/>
      <c r="C262" s="14"/>
      <c r="D262" s="55" t="s">
        <v>365</v>
      </c>
      <c r="E262" s="14"/>
      <c r="F262" s="14"/>
      <c r="G262" s="14"/>
      <c r="H262" s="17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0" customHeight="1">
      <c r="A263" s="13"/>
      <c r="B263" s="14"/>
      <c r="C263" s="14"/>
      <c r="D263" s="55" t="s">
        <v>366</v>
      </c>
      <c r="E263" s="14"/>
      <c r="F263" s="14"/>
      <c r="G263" s="14"/>
      <c r="H263" s="17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0" customHeight="1">
      <c r="A264" s="18"/>
      <c r="B264" s="19"/>
      <c r="C264" s="19"/>
      <c r="D264" s="102" t="s">
        <v>367</v>
      </c>
      <c r="E264" s="19"/>
      <c r="F264" s="19"/>
      <c r="G264" s="19"/>
      <c r="H264" s="29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0" customHeight="1">
      <c r="A265" s="22" t="s">
        <v>368</v>
      </c>
      <c r="B265" s="38" t="s">
        <v>9</v>
      </c>
      <c r="C265" s="58" t="s">
        <v>65</v>
      </c>
      <c r="D265" s="24" t="s">
        <v>369</v>
      </c>
      <c r="E265" s="26" t="s">
        <v>12</v>
      </c>
      <c r="F265" s="58" t="s">
        <v>13</v>
      </c>
      <c r="G265" s="44" t="s">
        <v>370</v>
      </c>
      <c r="H265" s="84" t="s">
        <v>371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0" customHeight="1">
      <c r="A266" s="13"/>
      <c r="B266" s="14"/>
      <c r="C266" s="14"/>
      <c r="D266" s="33" t="s">
        <v>335</v>
      </c>
      <c r="E266" s="14"/>
      <c r="F266" s="14"/>
      <c r="G266" s="14"/>
      <c r="H266" s="17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0" customHeight="1">
      <c r="A267" s="13"/>
      <c r="B267" s="14"/>
      <c r="C267" s="14"/>
      <c r="D267" s="16" t="s">
        <v>372</v>
      </c>
      <c r="E267" s="14"/>
      <c r="F267" s="14"/>
      <c r="G267" s="14"/>
      <c r="H267" s="17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0" customHeight="1">
      <c r="A268" s="18"/>
      <c r="B268" s="19"/>
      <c r="C268" s="19"/>
      <c r="D268" s="28" t="s">
        <v>373</v>
      </c>
      <c r="E268" s="19"/>
      <c r="F268" s="19"/>
      <c r="G268" s="19"/>
      <c r="H268" s="29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0" customHeight="1">
      <c r="A269" s="22" t="s">
        <v>374</v>
      </c>
      <c r="B269" s="23" t="s">
        <v>9</v>
      </c>
      <c r="C269" s="23" t="s">
        <v>79</v>
      </c>
      <c r="D269" s="100" t="s">
        <v>375</v>
      </c>
      <c r="E269" s="81" t="s">
        <v>12</v>
      </c>
      <c r="F269" s="58" t="s">
        <v>13</v>
      </c>
      <c r="G269" s="58" t="s">
        <v>376</v>
      </c>
      <c r="H269" s="27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.5" customHeight="1">
      <c r="A270" s="13"/>
      <c r="B270" s="14"/>
      <c r="C270" s="14"/>
      <c r="D270" s="118"/>
      <c r="E270" s="14"/>
      <c r="F270" s="14"/>
      <c r="G270" s="14"/>
      <c r="H270" s="17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0" customHeight="1">
      <c r="A271" s="13"/>
      <c r="B271" s="14"/>
      <c r="C271" s="14"/>
      <c r="D271" s="94" t="s">
        <v>377</v>
      </c>
      <c r="E271" s="14"/>
      <c r="F271" s="14"/>
      <c r="G271" s="14"/>
      <c r="H271" s="17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0" customHeight="1">
      <c r="A272" s="13"/>
      <c r="B272" s="14"/>
      <c r="C272" s="14"/>
      <c r="D272" s="94" t="s">
        <v>378</v>
      </c>
      <c r="E272" s="14"/>
      <c r="F272" s="14"/>
      <c r="G272" s="14"/>
      <c r="H272" s="17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0" customHeight="1">
      <c r="A273" s="18"/>
      <c r="B273" s="19"/>
      <c r="C273" s="19"/>
      <c r="D273" s="96" t="s">
        <v>86</v>
      </c>
      <c r="E273" s="19"/>
      <c r="F273" s="19"/>
      <c r="G273" s="19"/>
      <c r="H273" s="29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0" customHeight="1">
      <c r="A274" s="22" t="s">
        <v>379</v>
      </c>
      <c r="B274" s="35" t="s">
        <v>9</v>
      </c>
      <c r="C274" s="23" t="s">
        <v>65</v>
      </c>
      <c r="D274" s="31" t="s">
        <v>199</v>
      </c>
      <c r="E274" s="26" t="s">
        <v>12</v>
      </c>
      <c r="F274" s="58" t="s">
        <v>43</v>
      </c>
      <c r="G274" s="44" t="s">
        <v>380</v>
      </c>
      <c r="H274" s="27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0" customHeight="1">
      <c r="A275" s="13"/>
      <c r="B275" s="14"/>
      <c r="C275" s="14"/>
      <c r="D275" s="16" t="s">
        <v>265</v>
      </c>
      <c r="E275" s="14"/>
      <c r="F275" s="14"/>
      <c r="G275" s="14"/>
      <c r="H275" s="17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0" customHeight="1">
      <c r="A276" s="13"/>
      <c r="B276" s="14"/>
      <c r="C276" s="14"/>
      <c r="D276" s="16" t="s">
        <v>381</v>
      </c>
      <c r="E276" s="14"/>
      <c r="F276" s="14"/>
      <c r="G276" s="14"/>
      <c r="H276" s="17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0" customHeight="1">
      <c r="A277" s="13"/>
      <c r="B277" s="14"/>
      <c r="C277" s="14"/>
      <c r="D277" s="16" t="s">
        <v>382</v>
      </c>
      <c r="E277" s="14"/>
      <c r="F277" s="14"/>
      <c r="G277" s="14"/>
      <c r="H277" s="17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0" customHeight="1">
      <c r="A278" s="18"/>
      <c r="B278" s="19"/>
      <c r="C278" s="19"/>
      <c r="D278" s="119" t="s">
        <v>124</v>
      </c>
      <c r="E278" s="19"/>
      <c r="F278" s="19"/>
      <c r="G278" s="19"/>
      <c r="H278" s="29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0" customHeight="1">
      <c r="A279" s="22" t="s">
        <v>383</v>
      </c>
      <c r="B279" s="23" t="s">
        <v>9</v>
      </c>
      <c r="C279" s="35" t="s">
        <v>384</v>
      </c>
      <c r="D279" s="24" t="s">
        <v>69</v>
      </c>
      <c r="E279" s="26" t="s">
        <v>12</v>
      </c>
      <c r="F279" s="58" t="s">
        <v>13</v>
      </c>
      <c r="G279" s="44" t="s">
        <v>385</v>
      </c>
      <c r="H279" s="27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0" customHeight="1">
      <c r="A280" s="13"/>
      <c r="B280" s="14"/>
      <c r="C280" s="14"/>
      <c r="D280" s="16" t="s">
        <v>114</v>
      </c>
      <c r="E280" s="14"/>
      <c r="F280" s="14"/>
      <c r="G280" s="14"/>
      <c r="H280" s="17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0" customHeight="1">
      <c r="A281" s="13"/>
      <c r="B281" s="14"/>
      <c r="C281" s="14"/>
      <c r="D281" s="16" t="s">
        <v>115</v>
      </c>
      <c r="E281" s="14"/>
      <c r="F281" s="14"/>
      <c r="G281" s="14"/>
      <c r="H281" s="17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0" customHeight="1">
      <c r="A282" s="13"/>
      <c r="B282" s="14"/>
      <c r="C282" s="14"/>
      <c r="D282" s="16" t="s">
        <v>386</v>
      </c>
      <c r="E282" s="14"/>
      <c r="F282" s="14"/>
      <c r="G282" s="14"/>
      <c r="H282" s="17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0" customHeight="1">
      <c r="A283" s="13"/>
      <c r="B283" s="14"/>
      <c r="C283" s="14"/>
      <c r="D283" s="16" t="s">
        <v>118</v>
      </c>
      <c r="E283" s="14"/>
      <c r="F283" s="14"/>
      <c r="G283" s="14"/>
      <c r="H283" s="17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0" customHeight="1">
      <c r="A284" s="13"/>
      <c r="B284" s="14"/>
      <c r="C284" s="14"/>
      <c r="D284" s="16" t="s">
        <v>387</v>
      </c>
      <c r="E284" s="14"/>
      <c r="F284" s="14"/>
      <c r="G284" s="14"/>
      <c r="H284" s="17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0" customHeight="1">
      <c r="A285" s="18"/>
      <c r="B285" s="19"/>
      <c r="C285" s="19"/>
      <c r="D285" s="28" t="s">
        <v>388</v>
      </c>
      <c r="E285" s="19"/>
      <c r="F285" s="19"/>
      <c r="G285" s="19"/>
      <c r="H285" s="29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0" customHeight="1">
      <c r="A286" s="22" t="s">
        <v>389</v>
      </c>
      <c r="B286" s="23" t="s">
        <v>18</v>
      </c>
      <c r="C286" s="23" t="s">
        <v>19</v>
      </c>
      <c r="D286" s="24" t="s">
        <v>390</v>
      </c>
      <c r="E286" s="30" t="s">
        <v>12</v>
      </c>
      <c r="F286" s="58" t="s">
        <v>168</v>
      </c>
      <c r="G286" s="44" t="s">
        <v>391</v>
      </c>
      <c r="H286" s="27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0" customHeight="1">
      <c r="A287" s="13"/>
      <c r="B287" s="14"/>
      <c r="C287" s="14"/>
      <c r="D287" s="16" t="s">
        <v>392</v>
      </c>
      <c r="E287" s="14"/>
      <c r="F287" s="14"/>
      <c r="G287" s="14"/>
      <c r="H287" s="17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0" customHeight="1">
      <c r="A288" s="18"/>
      <c r="B288" s="19"/>
      <c r="C288" s="19"/>
      <c r="D288" s="28" t="s">
        <v>393</v>
      </c>
      <c r="E288" s="19"/>
      <c r="F288" s="19"/>
      <c r="G288" s="19"/>
      <c r="H288" s="29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0" customHeight="1">
      <c r="A289" s="22" t="s">
        <v>394</v>
      </c>
      <c r="B289" s="23" t="s">
        <v>9</v>
      </c>
      <c r="C289" s="23" t="s">
        <v>180</v>
      </c>
      <c r="D289" s="31" t="s">
        <v>395</v>
      </c>
      <c r="E289" s="30" t="s">
        <v>12</v>
      </c>
      <c r="F289" s="58" t="s">
        <v>43</v>
      </c>
      <c r="G289" s="44" t="s">
        <v>396</v>
      </c>
      <c r="H289" s="27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0" customHeight="1">
      <c r="A290" s="13"/>
      <c r="B290" s="14"/>
      <c r="C290" s="14"/>
      <c r="D290" s="16" t="s">
        <v>265</v>
      </c>
      <c r="E290" s="14"/>
      <c r="F290" s="14"/>
      <c r="G290" s="14"/>
      <c r="H290" s="17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0" customHeight="1">
      <c r="A291" s="13"/>
      <c r="B291" s="14"/>
      <c r="C291" s="14"/>
      <c r="D291" s="16" t="s">
        <v>397</v>
      </c>
      <c r="E291" s="14"/>
      <c r="F291" s="14"/>
      <c r="G291" s="14"/>
      <c r="H291" s="17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0" customHeight="1">
      <c r="A292" s="13"/>
      <c r="B292" s="14"/>
      <c r="C292" s="14"/>
      <c r="D292" s="16" t="s">
        <v>398</v>
      </c>
      <c r="E292" s="14"/>
      <c r="F292" s="14"/>
      <c r="G292" s="14"/>
      <c r="H292" s="17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0" customHeight="1">
      <c r="A293" s="18"/>
      <c r="B293" s="19"/>
      <c r="C293" s="19"/>
      <c r="D293" s="21" t="s">
        <v>399</v>
      </c>
      <c r="E293" s="19"/>
      <c r="F293" s="19"/>
      <c r="G293" s="19"/>
      <c r="H293" s="29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0" customHeight="1">
      <c r="A294" s="22" t="s">
        <v>400</v>
      </c>
      <c r="B294" s="23" t="s">
        <v>18</v>
      </c>
      <c r="C294" s="23" t="s">
        <v>19</v>
      </c>
      <c r="D294" s="24" t="s">
        <v>279</v>
      </c>
      <c r="E294" s="26" t="s">
        <v>12</v>
      </c>
      <c r="F294" s="58" t="s">
        <v>13</v>
      </c>
      <c r="G294" s="44" t="s">
        <v>401</v>
      </c>
      <c r="H294" s="27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0" customHeight="1">
      <c r="A295" s="13"/>
      <c r="B295" s="14"/>
      <c r="C295" s="14"/>
      <c r="D295" s="16" t="s">
        <v>114</v>
      </c>
      <c r="E295" s="14"/>
      <c r="F295" s="14"/>
      <c r="G295" s="14"/>
      <c r="H295" s="17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0" customHeight="1">
      <c r="A296" s="13"/>
      <c r="B296" s="14"/>
      <c r="C296" s="14"/>
      <c r="D296" s="16" t="s">
        <v>115</v>
      </c>
      <c r="E296" s="14"/>
      <c r="F296" s="14"/>
      <c r="G296" s="14"/>
      <c r="H296" s="17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0" customHeight="1">
      <c r="A297" s="18"/>
      <c r="B297" s="19"/>
      <c r="C297" s="19"/>
      <c r="D297" s="21" t="s">
        <v>402</v>
      </c>
      <c r="E297" s="19"/>
      <c r="F297" s="19"/>
      <c r="G297" s="19"/>
      <c r="H297" s="29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0" customHeight="1">
      <c r="A298" s="22" t="s">
        <v>403</v>
      </c>
      <c r="B298" s="23" t="s">
        <v>9</v>
      </c>
      <c r="C298" s="23" t="s">
        <v>19</v>
      </c>
      <c r="D298" s="43" t="s">
        <v>404</v>
      </c>
      <c r="E298" s="44" t="s">
        <v>12</v>
      </c>
      <c r="F298" s="38" t="s">
        <v>28</v>
      </c>
      <c r="G298" s="44" t="s">
        <v>405</v>
      </c>
      <c r="H298" s="27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0" customHeight="1">
      <c r="A299" s="13"/>
      <c r="B299" s="14"/>
      <c r="C299" s="14"/>
      <c r="D299" s="9" t="s">
        <v>406</v>
      </c>
      <c r="E299" s="14"/>
      <c r="F299" s="14"/>
      <c r="G299" s="14"/>
      <c r="H299" s="17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0" customHeight="1">
      <c r="A300" s="13"/>
      <c r="B300" s="14"/>
      <c r="C300" s="14"/>
      <c r="D300" s="16" t="s">
        <v>407</v>
      </c>
      <c r="E300" s="14"/>
      <c r="F300" s="14"/>
      <c r="G300" s="14"/>
      <c r="H300" s="17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0" customHeight="1">
      <c r="A301" s="13"/>
      <c r="B301" s="14"/>
      <c r="C301" s="14"/>
      <c r="D301" s="16" t="s">
        <v>164</v>
      </c>
      <c r="E301" s="14"/>
      <c r="F301" s="14"/>
      <c r="G301" s="14"/>
      <c r="H301" s="17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0" customHeight="1">
      <c r="A302" s="13"/>
      <c r="B302" s="14"/>
      <c r="C302" s="14"/>
      <c r="D302" s="16" t="s">
        <v>408</v>
      </c>
      <c r="E302" s="14"/>
      <c r="F302" s="14"/>
      <c r="G302" s="14"/>
      <c r="H302" s="17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0" customHeight="1">
      <c r="A303" s="18"/>
      <c r="B303" s="19"/>
      <c r="C303" s="19"/>
      <c r="D303" s="28" t="s">
        <v>165</v>
      </c>
      <c r="E303" s="19"/>
      <c r="F303" s="19"/>
      <c r="G303" s="19"/>
      <c r="H303" s="29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0" customHeight="1">
      <c r="A304" s="34" t="s">
        <v>409</v>
      </c>
      <c r="B304" s="35" t="s">
        <v>137</v>
      </c>
      <c r="C304" s="35" t="s">
        <v>10</v>
      </c>
      <c r="D304" s="9" t="s">
        <v>96</v>
      </c>
      <c r="E304" s="37" t="s">
        <v>12</v>
      </c>
      <c r="F304" s="38" t="s">
        <v>43</v>
      </c>
      <c r="G304" s="39" t="s">
        <v>410</v>
      </c>
      <c r="H304" s="27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0" customHeight="1">
      <c r="A305" s="13"/>
      <c r="B305" s="14"/>
      <c r="C305" s="14"/>
      <c r="D305" s="55" t="s">
        <v>11</v>
      </c>
      <c r="E305" s="14"/>
      <c r="F305" s="14"/>
      <c r="G305" s="14"/>
      <c r="H305" s="17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0" customHeight="1">
      <c r="A306" s="18"/>
      <c r="B306" s="19"/>
      <c r="C306" s="19"/>
      <c r="D306" s="102" t="s">
        <v>16</v>
      </c>
      <c r="E306" s="19"/>
      <c r="F306" s="19"/>
      <c r="G306" s="19"/>
      <c r="H306" s="29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0" customHeight="1">
      <c r="A307" s="34" t="s">
        <v>411</v>
      </c>
      <c r="B307" s="35" t="s">
        <v>9</v>
      </c>
      <c r="C307" s="35" t="s">
        <v>252</v>
      </c>
      <c r="D307" s="90" t="s">
        <v>412</v>
      </c>
      <c r="E307" s="37" t="s">
        <v>12</v>
      </c>
      <c r="F307" s="38" t="s">
        <v>43</v>
      </c>
      <c r="G307" s="39" t="s">
        <v>413</v>
      </c>
      <c r="H307" s="27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0" customHeight="1">
      <c r="A308" s="13"/>
      <c r="B308" s="14"/>
      <c r="C308" s="14"/>
      <c r="D308" s="55" t="s">
        <v>414</v>
      </c>
      <c r="E308" s="14"/>
      <c r="F308" s="14"/>
      <c r="G308" s="14"/>
      <c r="H308" s="17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0" customHeight="1">
      <c r="A309" s="18"/>
      <c r="B309" s="19"/>
      <c r="C309" s="19"/>
      <c r="D309" s="92" t="s">
        <v>415</v>
      </c>
      <c r="E309" s="19"/>
      <c r="F309" s="19"/>
      <c r="G309" s="19"/>
      <c r="H309" s="29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0" customHeight="1">
      <c r="A310" s="22" t="s">
        <v>416</v>
      </c>
      <c r="B310" s="23" t="s">
        <v>9</v>
      </c>
      <c r="C310" s="23" t="s">
        <v>180</v>
      </c>
      <c r="D310" s="24" t="s">
        <v>265</v>
      </c>
      <c r="E310" s="26" t="s">
        <v>12</v>
      </c>
      <c r="F310" s="38" t="s">
        <v>28</v>
      </c>
      <c r="G310" s="44" t="s">
        <v>417</v>
      </c>
      <c r="H310" s="27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0" customHeight="1">
      <c r="A311" s="13"/>
      <c r="B311" s="14"/>
      <c r="C311" s="14"/>
      <c r="D311" s="16" t="s">
        <v>418</v>
      </c>
      <c r="E311" s="14"/>
      <c r="F311" s="14"/>
      <c r="G311" s="14"/>
      <c r="H311" s="17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0" customHeight="1">
      <c r="A312" s="13"/>
      <c r="B312" s="14"/>
      <c r="C312" s="14"/>
      <c r="D312" s="16" t="s">
        <v>419</v>
      </c>
      <c r="E312" s="14"/>
      <c r="F312" s="14"/>
      <c r="G312" s="14"/>
      <c r="H312" s="17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0" customHeight="1">
      <c r="A313" s="13"/>
      <c r="B313" s="14"/>
      <c r="C313" s="14"/>
      <c r="D313" s="33" t="s">
        <v>420</v>
      </c>
      <c r="E313" s="14"/>
      <c r="F313" s="14"/>
      <c r="G313" s="14"/>
      <c r="H313" s="17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0" customHeight="1">
      <c r="A314" s="13"/>
      <c r="B314" s="14"/>
      <c r="C314" s="14"/>
      <c r="D314" s="33" t="s">
        <v>124</v>
      </c>
      <c r="E314" s="14"/>
      <c r="F314" s="14"/>
      <c r="G314" s="14"/>
      <c r="H314" s="17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0" customHeight="1">
      <c r="A315" s="18"/>
      <c r="B315" s="19"/>
      <c r="C315" s="19"/>
      <c r="D315" s="28" t="s">
        <v>421</v>
      </c>
      <c r="E315" s="19"/>
      <c r="F315" s="19"/>
      <c r="G315" s="19"/>
      <c r="H315" s="29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0" customHeight="1">
      <c r="A316" s="6" t="s">
        <v>422</v>
      </c>
      <c r="B316" s="7" t="s">
        <v>9</v>
      </c>
      <c r="C316" s="7" t="s">
        <v>79</v>
      </c>
      <c r="D316" s="80" t="s">
        <v>423</v>
      </c>
      <c r="E316" s="52" t="s">
        <v>12</v>
      </c>
      <c r="F316" s="7" t="s">
        <v>28</v>
      </c>
      <c r="G316" s="10" t="s">
        <v>424</v>
      </c>
      <c r="H316" s="49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0" customHeight="1">
      <c r="A317" s="13"/>
      <c r="B317" s="14"/>
      <c r="C317" s="14"/>
      <c r="D317" s="94" t="s">
        <v>425</v>
      </c>
      <c r="E317" s="14"/>
      <c r="F317" s="14"/>
      <c r="G317" s="14"/>
      <c r="H317" s="17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0" customHeight="1">
      <c r="A318" s="13"/>
      <c r="B318" s="14"/>
      <c r="C318" s="14"/>
      <c r="D318" s="16" t="s">
        <v>426</v>
      </c>
      <c r="E318" s="14"/>
      <c r="F318" s="14"/>
      <c r="G318" s="14"/>
      <c r="H318" s="17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75" customHeight="1">
      <c r="A319" s="13"/>
      <c r="B319" s="14"/>
      <c r="C319" s="14"/>
      <c r="D319" s="16" t="s">
        <v>427</v>
      </c>
      <c r="E319" s="14"/>
      <c r="F319" s="14"/>
      <c r="G319" s="14"/>
      <c r="H319" s="17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0" customHeight="1">
      <c r="A320" s="13"/>
      <c r="B320" s="14"/>
      <c r="C320" s="14"/>
      <c r="D320" s="16" t="s">
        <v>428</v>
      </c>
      <c r="E320" s="14"/>
      <c r="F320" s="14"/>
      <c r="G320" s="14"/>
      <c r="H320" s="17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0" customHeight="1">
      <c r="A321" s="13"/>
      <c r="B321" s="14"/>
      <c r="C321" s="14"/>
      <c r="D321" s="16" t="s">
        <v>429</v>
      </c>
      <c r="E321" s="14"/>
      <c r="F321" s="14"/>
      <c r="G321" s="14"/>
      <c r="H321" s="17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0" customHeight="1">
      <c r="A322" s="13"/>
      <c r="B322" s="14"/>
      <c r="C322" s="14"/>
      <c r="D322" s="16" t="s">
        <v>430</v>
      </c>
      <c r="E322" s="14"/>
      <c r="F322" s="14"/>
      <c r="G322" s="14"/>
      <c r="H322" s="17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0" customHeight="1">
      <c r="A323" s="13"/>
      <c r="B323" s="14"/>
      <c r="C323" s="14"/>
      <c r="D323" s="16" t="s">
        <v>431</v>
      </c>
      <c r="E323" s="14"/>
      <c r="F323" s="14"/>
      <c r="G323" s="14"/>
      <c r="H323" s="17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0" customHeight="1">
      <c r="A324" s="13"/>
      <c r="B324" s="14"/>
      <c r="C324" s="14"/>
      <c r="D324" s="33" t="s">
        <v>432</v>
      </c>
      <c r="E324" s="14"/>
      <c r="F324" s="14"/>
      <c r="G324" s="14"/>
      <c r="H324" s="17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0" customHeight="1">
      <c r="A325" s="13"/>
      <c r="B325" s="14"/>
      <c r="C325" s="14"/>
      <c r="D325" s="16" t="s">
        <v>433</v>
      </c>
      <c r="E325" s="14"/>
      <c r="F325" s="14"/>
      <c r="G325" s="14"/>
      <c r="H325" s="17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0" customHeight="1">
      <c r="A326" s="13"/>
      <c r="B326" s="14"/>
      <c r="C326" s="14"/>
      <c r="D326" s="94" t="s">
        <v>124</v>
      </c>
      <c r="E326" s="14"/>
      <c r="F326" s="14"/>
      <c r="G326" s="14"/>
      <c r="H326" s="17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0" customHeight="1">
      <c r="A327" s="18"/>
      <c r="B327" s="19"/>
      <c r="C327" s="19"/>
      <c r="D327" s="99" t="s">
        <v>434</v>
      </c>
      <c r="E327" s="19"/>
      <c r="F327" s="19"/>
      <c r="G327" s="19"/>
      <c r="H327" s="29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0" customHeight="1">
      <c r="A328" s="34" t="s">
        <v>435</v>
      </c>
      <c r="B328" s="35" t="s">
        <v>9</v>
      </c>
      <c r="C328" s="35" t="s">
        <v>436</v>
      </c>
      <c r="D328" s="83" t="s">
        <v>437</v>
      </c>
      <c r="E328" s="37" t="s">
        <v>12</v>
      </c>
      <c r="F328" s="35" t="s">
        <v>13</v>
      </c>
      <c r="G328" s="46" t="s">
        <v>438</v>
      </c>
      <c r="H328" s="8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0" customHeight="1">
      <c r="A329" s="13"/>
      <c r="B329" s="14"/>
      <c r="C329" s="14"/>
      <c r="D329" s="85" t="s">
        <v>439</v>
      </c>
      <c r="E329" s="14"/>
      <c r="F329" s="14"/>
      <c r="G329" s="14"/>
      <c r="H329" s="17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0" customHeight="1">
      <c r="A330" s="18"/>
      <c r="B330" s="19"/>
      <c r="C330" s="19"/>
      <c r="D330" s="86" t="s">
        <v>338</v>
      </c>
      <c r="E330" s="19"/>
      <c r="F330" s="19"/>
      <c r="G330" s="19"/>
      <c r="H330" s="29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0" customHeight="1">
      <c r="A331" s="6" t="s">
        <v>440</v>
      </c>
      <c r="B331" s="7" t="s">
        <v>9</v>
      </c>
      <c r="C331" s="7" t="s">
        <v>65</v>
      </c>
      <c r="D331" s="111" t="s">
        <v>441</v>
      </c>
      <c r="E331" s="10" t="s">
        <v>12</v>
      </c>
      <c r="F331" s="7" t="s">
        <v>13</v>
      </c>
      <c r="G331" s="10" t="s">
        <v>442</v>
      </c>
      <c r="H331" s="89" t="s">
        <v>163</v>
      </c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0" customHeight="1">
      <c r="A332" s="18"/>
      <c r="B332" s="19"/>
      <c r="C332" s="19"/>
      <c r="D332" s="21" t="s">
        <v>46</v>
      </c>
      <c r="E332" s="19"/>
      <c r="F332" s="19"/>
      <c r="G332" s="19"/>
      <c r="H332" s="29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0" customHeight="1">
      <c r="A333" s="22" t="s">
        <v>443</v>
      </c>
      <c r="B333" s="23" t="s">
        <v>25</v>
      </c>
      <c r="C333" s="23" t="s">
        <v>331</v>
      </c>
      <c r="D333" s="95" t="s">
        <v>444</v>
      </c>
      <c r="E333" s="81" t="s">
        <v>12</v>
      </c>
      <c r="F333" s="23" t="s">
        <v>13</v>
      </c>
      <c r="G333" s="23" t="s">
        <v>445</v>
      </c>
      <c r="H333" s="27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0" customHeight="1">
      <c r="A334" s="18"/>
      <c r="B334" s="19"/>
      <c r="C334" s="19"/>
      <c r="D334" s="96" t="s">
        <v>159</v>
      </c>
      <c r="E334" s="19"/>
      <c r="F334" s="19"/>
      <c r="G334" s="19"/>
      <c r="H334" s="29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0" customHeight="1">
      <c r="A335" s="22" t="s">
        <v>446</v>
      </c>
      <c r="B335" s="23" t="s">
        <v>9</v>
      </c>
      <c r="C335" s="23" t="s">
        <v>10</v>
      </c>
      <c r="D335" s="31" t="s">
        <v>447</v>
      </c>
      <c r="E335" s="26" t="s">
        <v>12</v>
      </c>
      <c r="F335" s="58" t="s">
        <v>13</v>
      </c>
      <c r="G335" s="44" t="s">
        <v>448</v>
      </c>
      <c r="H335" s="27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0" customHeight="1">
      <c r="A336" s="13"/>
      <c r="B336" s="14"/>
      <c r="C336" s="14"/>
      <c r="D336" s="16" t="s">
        <v>449</v>
      </c>
      <c r="E336" s="14"/>
      <c r="F336" s="14"/>
      <c r="G336" s="14"/>
      <c r="H336" s="17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0" customHeight="1">
      <c r="A337" s="18"/>
      <c r="B337" s="19"/>
      <c r="C337" s="19"/>
      <c r="D337" s="28" t="s">
        <v>450</v>
      </c>
      <c r="E337" s="19"/>
      <c r="F337" s="19"/>
      <c r="G337" s="19"/>
      <c r="H337" s="29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0" customHeight="1">
      <c r="A338" s="22" t="s">
        <v>451</v>
      </c>
      <c r="B338" s="23" t="s">
        <v>9</v>
      </c>
      <c r="C338" s="23" t="s">
        <v>180</v>
      </c>
      <c r="D338" s="24" t="s">
        <v>452</v>
      </c>
      <c r="E338" s="120" t="s">
        <v>12</v>
      </c>
      <c r="F338" s="58" t="s">
        <v>43</v>
      </c>
      <c r="G338" s="23" t="s">
        <v>453</v>
      </c>
      <c r="H338" s="56" t="s">
        <v>163</v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0" customHeight="1">
      <c r="A339" s="13"/>
      <c r="B339" s="14"/>
      <c r="C339" s="14"/>
      <c r="D339" s="121" t="s">
        <v>42</v>
      </c>
      <c r="E339" s="14"/>
      <c r="F339" s="14"/>
      <c r="G339" s="14"/>
      <c r="H339" s="17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0" customHeight="1">
      <c r="A340" s="13"/>
      <c r="B340" s="14"/>
      <c r="C340" s="14"/>
      <c r="D340" s="33" t="s">
        <v>45</v>
      </c>
      <c r="E340" s="14"/>
      <c r="F340" s="14"/>
      <c r="G340" s="14"/>
      <c r="H340" s="17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0" customHeight="1">
      <c r="A341" s="18"/>
      <c r="B341" s="19"/>
      <c r="C341" s="19"/>
      <c r="D341" s="45" t="s">
        <v>454</v>
      </c>
      <c r="E341" s="19"/>
      <c r="F341" s="19"/>
      <c r="G341" s="19"/>
      <c r="H341" s="29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0" customHeight="1">
      <c r="A342" s="34" t="s">
        <v>455</v>
      </c>
      <c r="B342" s="35" t="s">
        <v>9</v>
      </c>
      <c r="C342" s="35" t="s">
        <v>252</v>
      </c>
      <c r="D342" s="43" t="s">
        <v>456</v>
      </c>
      <c r="E342" s="117" t="s">
        <v>12</v>
      </c>
      <c r="F342" s="38" t="s">
        <v>28</v>
      </c>
      <c r="G342" s="39" t="s">
        <v>457</v>
      </c>
      <c r="H342" s="27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0" customHeight="1">
      <c r="A343" s="18"/>
      <c r="B343" s="19"/>
      <c r="C343" s="19"/>
      <c r="D343" s="47" t="s">
        <v>458</v>
      </c>
      <c r="E343" s="19"/>
      <c r="F343" s="19"/>
      <c r="G343" s="19"/>
      <c r="H343" s="29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0" customHeight="1">
      <c r="A344" s="34" t="s">
        <v>459</v>
      </c>
      <c r="B344" s="35" t="s">
        <v>137</v>
      </c>
      <c r="C344" s="35" t="s">
        <v>252</v>
      </c>
      <c r="D344" s="43" t="s">
        <v>460</v>
      </c>
      <c r="E344" s="122" t="s">
        <v>12</v>
      </c>
      <c r="F344" s="38" t="s">
        <v>13</v>
      </c>
      <c r="G344" s="123" t="s">
        <v>461</v>
      </c>
      <c r="H344" s="27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0" customHeight="1">
      <c r="A345" s="18"/>
      <c r="B345" s="19"/>
      <c r="C345" s="19"/>
      <c r="D345" s="47" t="s">
        <v>367</v>
      </c>
      <c r="E345" s="70"/>
      <c r="F345" s="19"/>
      <c r="G345" s="70"/>
      <c r="H345" s="29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0" customHeight="1">
      <c r="A346" s="22" t="s">
        <v>462</v>
      </c>
      <c r="B346" s="23" t="s">
        <v>9</v>
      </c>
      <c r="C346" s="23" t="s">
        <v>180</v>
      </c>
      <c r="D346" s="48" t="s">
        <v>463</v>
      </c>
      <c r="E346" s="44" t="s">
        <v>12</v>
      </c>
      <c r="F346" s="58" t="s">
        <v>43</v>
      </c>
      <c r="G346" s="44" t="s">
        <v>464</v>
      </c>
      <c r="H346" s="27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0" customHeight="1">
      <c r="A347" s="13"/>
      <c r="B347" s="14"/>
      <c r="C347" s="14"/>
      <c r="D347" s="33" t="s">
        <v>465</v>
      </c>
      <c r="E347" s="14"/>
      <c r="F347" s="14"/>
      <c r="G347" s="14"/>
      <c r="H347" s="17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0" customHeight="1">
      <c r="A348" s="13"/>
      <c r="B348" s="14"/>
      <c r="C348" s="14"/>
      <c r="D348" s="41" t="s">
        <v>466</v>
      </c>
      <c r="E348" s="14"/>
      <c r="F348" s="14"/>
      <c r="G348" s="14"/>
      <c r="H348" s="17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0" customHeight="1">
      <c r="A349" s="13"/>
      <c r="B349" s="14"/>
      <c r="C349" s="14"/>
      <c r="D349" s="16" t="s">
        <v>467</v>
      </c>
      <c r="E349" s="14"/>
      <c r="F349" s="14"/>
      <c r="G349" s="14"/>
      <c r="H349" s="17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0" customHeight="1">
      <c r="A350" s="13"/>
      <c r="B350" s="14"/>
      <c r="C350" s="14"/>
      <c r="D350" s="16" t="s">
        <v>468</v>
      </c>
      <c r="E350" s="14"/>
      <c r="F350" s="14"/>
      <c r="G350" s="14"/>
      <c r="H350" s="17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0" customHeight="1">
      <c r="A351" s="18"/>
      <c r="B351" s="19"/>
      <c r="C351" s="19"/>
      <c r="D351" s="28" t="s">
        <v>469</v>
      </c>
      <c r="E351" s="19"/>
      <c r="F351" s="19"/>
      <c r="G351" s="19"/>
      <c r="H351" s="29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0" customHeight="1">
      <c r="A352" s="22" t="s">
        <v>470</v>
      </c>
      <c r="B352" s="23" t="s">
        <v>9</v>
      </c>
      <c r="C352" s="23" t="s">
        <v>10</v>
      </c>
      <c r="D352" s="31" t="s">
        <v>471</v>
      </c>
      <c r="E352" s="26" t="s">
        <v>12</v>
      </c>
      <c r="F352" s="58" t="s">
        <v>13</v>
      </c>
      <c r="G352" s="44" t="s">
        <v>472</v>
      </c>
      <c r="H352" s="27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0" customHeight="1">
      <c r="A353" s="13"/>
      <c r="B353" s="14"/>
      <c r="C353" s="14"/>
      <c r="D353" s="16" t="s">
        <v>473</v>
      </c>
      <c r="E353" s="14"/>
      <c r="F353" s="14"/>
      <c r="G353" s="14"/>
      <c r="H353" s="17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0" customHeight="1">
      <c r="A354" s="13"/>
      <c r="B354" s="14"/>
      <c r="C354" s="14"/>
      <c r="D354" s="33" t="s">
        <v>16</v>
      </c>
      <c r="E354" s="14"/>
      <c r="F354" s="14"/>
      <c r="G354" s="14"/>
      <c r="H354" s="17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0" customHeight="1">
      <c r="A355" s="13"/>
      <c r="B355" s="14"/>
      <c r="C355" s="14"/>
      <c r="D355" s="16" t="s">
        <v>474</v>
      </c>
      <c r="E355" s="14"/>
      <c r="F355" s="14"/>
      <c r="G355" s="14"/>
      <c r="H355" s="17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0" customHeight="1">
      <c r="A356" s="18"/>
      <c r="B356" s="19"/>
      <c r="C356" s="19"/>
      <c r="D356" s="21" t="s">
        <v>475</v>
      </c>
      <c r="E356" s="19"/>
      <c r="F356" s="19"/>
      <c r="G356" s="19"/>
      <c r="H356" s="29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0" customHeight="1">
      <c r="A357" s="22" t="s">
        <v>476</v>
      </c>
      <c r="B357" s="23" t="s">
        <v>9</v>
      </c>
      <c r="C357" s="23" t="s">
        <v>180</v>
      </c>
      <c r="D357" s="9" t="s">
        <v>477</v>
      </c>
      <c r="E357" s="26" t="s">
        <v>12</v>
      </c>
      <c r="F357" s="38" t="s">
        <v>43</v>
      </c>
      <c r="G357" s="44" t="s">
        <v>478</v>
      </c>
      <c r="H357" s="56" t="s">
        <v>479</v>
      </c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0" customHeight="1">
      <c r="A358" s="13"/>
      <c r="B358" s="14"/>
      <c r="C358" s="14"/>
      <c r="D358" s="80" t="s">
        <v>480</v>
      </c>
      <c r="E358" s="14"/>
      <c r="F358" s="14"/>
      <c r="G358" s="14"/>
      <c r="H358" s="17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0" customHeight="1">
      <c r="A359" s="18"/>
      <c r="B359" s="19"/>
      <c r="C359" s="19"/>
      <c r="D359" s="28" t="s">
        <v>481</v>
      </c>
      <c r="E359" s="19"/>
      <c r="F359" s="19"/>
      <c r="G359" s="19"/>
      <c r="H359" s="29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0" customHeight="1">
      <c r="A360" s="105" t="s">
        <v>482</v>
      </c>
      <c r="B360" s="23" t="s">
        <v>9</v>
      </c>
      <c r="C360" s="23" t="s">
        <v>10</v>
      </c>
      <c r="D360" s="31" t="s">
        <v>483</v>
      </c>
      <c r="E360" s="26" t="s">
        <v>12</v>
      </c>
      <c r="F360" s="58" t="s">
        <v>28</v>
      </c>
      <c r="G360" s="26" t="s">
        <v>484</v>
      </c>
      <c r="H360" s="27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0" customHeight="1">
      <c r="A361" s="13"/>
      <c r="B361" s="14"/>
      <c r="C361" s="14"/>
      <c r="D361" s="33" t="s">
        <v>485</v>
      </c>
      <c r="E361" s="14"/>
      <c r="F361" s="14"/>
      <c r="G361" s="14"/>
      <c r="H361" s="17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0" customHeight="1">
      <c r="A362" s="13"/>
      <c r="B362" s="14"/>
      <c r="C362" s="14"/>
      <c r="D362" s="33" t="s">
        <v>486</v>
      </c>
      <c r="E362" s="14"/>
      <c r="F362" s="14"/>
      <c r="G362" s="14"/>
      <c r="H362" s="17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0" customHeight="1">
      <c r="A363" s="18"/>
      <c r="B363" s="19"/>
      <c r="C363" s="19"/>
      <c r="D363" s="21" t="s">
        <v>487</v>
      </c>
      <c r="E363" s="19"/>
      <c r="F363" s="19"/>
      <c r="G363" s="19"/>
      <c r="H363" s="29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0" customHeight="1">
      <c r="A364" s="34" t="s">
        <v>488</v>
      </c>
      <c r="B364" s="35" t="s">
        <v>137</v>
      </c>
      <c r="C364" s="35" t="s">
        <v>489</v>
      </c>
      <c r="D364" s="36" t="s">
        <v>133</v>
      </c>
      <c r="E364" s="37" t="s">
        <v>12</v>
      </c>
      <c r="F364" s="38" t="s">
        <v>43</v>
      </c>
      <c r="G364" s="39" t="s">
        <v>490</v>
      </c>
      <c r="H364" s="27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0" customHeight="1">
      <c r="A365" s="13"/>
      <c r="B365" s="14"/>
      <c r="C365" s="14"/>
      <c r="D365" s="41" t="s">
        <v>327</v>
      </c>
      <c r="E365" s="14"/>
      <c r="F365" s="14"/>
      <c r="G365" s="14"/>
      <c r="H365" s="17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0" customHeight="1">
      <c r="A366" s="13"/>
      <c r="B366" s="14"/>
      <c r="C366" s="14"/>
      <c r="D366" s="41" t="s">
        <v>491</v>
      </c>
      <c r="E366" s="14"/>
      <c r="F366" s="14"/>
      <c r="G366" s="14"/>
      <c r="H366" s="17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0" customHeight="1">
      <c r="A367" s="13"/>
      <c r="B367" s="14"/>
      <c r="C367" s="14"/>
      <c r="D367" s="41" t="s">
        <v>124</v>
      </c>
      <c r="E367" s="14"/>
      <c r="F367" s="14"/>
      <c r="G367" s="14"/>
      <c r="H367" s="17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0" customHeight="1">
      <c r="A368" s="18"/>
      <c r="B368" s="19"/>
      <c r="C368" s="19"/>
      <c r="D368" s="42" t="s">
        <v>388</v>
      </c>
      <c r="E368" s="19"/>
      <c r="F368" s="19"/>
      <c r="G368" s="19"/>
      <c r="H368" s="29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0" customHeight="1">
      <c r="A369" s="22" t="s">
        <v>492</v>
      </c>
      <c r="B369" s="23" t="s">
        <v>9</v>
      </c>
      <c r="C369" s="23" t="s">
        <v>180</v>
      </c>
      <c r="D369" s="31" t="s">
        <v>493</v>
      </c>
      <c r="E369" s="26" t="s">
        <v>12</v>
      </c>
      <c r="F369" s="58" t="s">
        <v>13</v>
      </c>
      <c r="G369" s="44" t="s">
        <v>494</v>
      </c>
      <c r="H369" s="27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0" customHeight="1">
      <c r="A370" s="18"/>
      <c r="B370" s="19"/>
      <c r="C370" s="19"/>
      <c r="D370" s="28" t="s">
        <v>349</v>
      </c>
      <c r="E370" s="19"/>
      <c r="F370" s="19"/>
      <c r="G370" s="19"/>
      <c r="H370" s="29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0" customHeight="1">
      <c r="A371" s="124" t="s">
        <v>495</v>
      </c>
      <c r="B371" s="35" t="s">
        <v>9</v>
      </c>
      <c r="C371" s="35" t="s">
        <v>10</v>
      </c>
      <c r="D371" s="103" t="s">
        <v>96</v>
      </c>
      <c r="E371" s="37" t="s">
        <v>12</v>
      </c>
      <c r="F371" s="38" t="s">
        <v>28</v>
      </c>
      <c r="G371" s="101" t="s">
        <v>496</v>
      </c>
      <c r="H371" s="27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0" customHeight="1">
      <c r="A372" s="64"/>
      <c r="B372" s="14"/>
      <c r="C372" s="14"/>
      <c r="D372" s="125" t="s">
        <v>11</v>
      </c>
      <c r="E372" s="14"/>
      <c r="F372" s="14"/>
      <c r="G372" s="66"/>
      <c r="H372" s="17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0" customHeight="1">
      <c r="A373" s="64"/>
      <c r="B373" s="14"/>
      <c r="C373" s="14"/>
      <c r="D373" s="125" t="s">
        <v>497</v>
      </c>
      <c r="E373" s="14"/>
      <c r="F373" s="14"/>
      <c r="G373" s="66"/>
      <c r="H373" s="17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0" customHeight="1">
      <c r="A374" s="64"/>
      <c r="B374" s="19"/>
      <c r="C374" s="19"/>
      <c r="D374" s="126" t="s">
        <v>498</v>
      </c>
      <c r="E374" s="19"/>
      <c r="F374" s="19"/>
      <c r="G374" s="70"/>
      <c r="H374" s="29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0" customHeight="1">
      <c r="A375" s="22" t="s">
        <v>499</v>
      </c>
      <c r="B375" s="23" t="s">
        <v>9</v>
      </c>
      <c r="C375" s="23" t="s">
        <v>79</v>
      </c>
      <c r="D375" s="31" t="s">
        <v>500</v>
      </c>
      <c r="E375" s="26" t="s">
        <v>12</v>
      </c>
      <c r="F375" s="58" t="s">
        <v>13</v>
      </c>
      <c r="G375" s="44" t="s">
        <v>501</v>
      </c>
      <c r="H375" s="27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0" customHeight="1">
      <c r="A376" s="13"/>
      <c r="B376" s="14"/>
      <c r="C376" s="14"/>
      <c r="D376" s="16" t="s">
        <v>502</v>
      </c>
      <c r="E376" s="14"/>
      <c r="F376" s="14"/>
      <c r="G376" s="14"/>
      <c r="H376" s="17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0" customHeight="1">
      <c r="A377" s="13"/>
      <c r="B377" s="14"/>
      <c r="C377" s="14"/>
      <c r="D377" s="33" t="s">
        <v>503</v>
      </c>
      <c r="E377" s="14"/>
      <c r="F377" s="14"/>
      <c r="G377" s="14"/>
      <c r="H377" s="17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0" customHeight="1">
      <c r="A378" s="18"/>
      <c r="B378" s="19"/>
      <c r="C378" s="19"/>
      <c r="D378" s="28" t="s">
        <v>504</v>
      </c>
      <c r="E378" s="19"/>
      <c r="F378" s="19"/>
      <c r="G378" s="19"/>
      <c r="H378" s="29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0" customHeight="1">
      <c r="A379" s="22" t="s">
        <v>505</v>
      </c>
      <c r="B379" s="23" t="s">
        <v>9</v>
      </c>
      <c r="C379" s="23" t="s">
        <v>180</v>
      </c>
      <c r="D379" s="31" t="s">
        <v>506</v>
      </c>
      <c r="E379" s="26" t="s">
        <v>12</v>
      </c>
      <c r="F379" s="58" t="s">
        <v>43</v>
      </c>
      <c r="G379" s="44" t="s">
        <v>507</v>
      </c>
      <c r="H379" s="27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0" customHeight="1">
      <c r="A380" s="13"/>
      <c r="B380" s="14"/>
      <c r="C380" s="14"/>
      <c r="D380" s="33" t="s">
        <v>508</v>
      </c>
      <c r="E380" s="14"/>
      <c r="F380" s="14"/>
      <c r="G380" s="14"/>
      <c r="H380" s="17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0" customHeight="1">
      <c r="A381" s="13"/>
      <c r="B381" s="14"/>
      <c r="C381" s="14"/>
      <c r="D381" s="16" t="s">
        <v>69</v>
      </c>
      <c r="E381" s="14"/>
      <c r="F381" s="14"/>
      <c r="G381" s="14"/>
      <c r="H381" s="17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0" customHeight="1">
      <c r="A382" s="13"/>
      <c r="B382" s="14"/>
      <c r="C382" s="14"/>
      <c r="D382" s="16" t="s">
        <v>509</v>
      </c>
      <c r="E382" s="14"/>
      <c r="F382" s="14"/>
      <c r="G382" s="14"/>
      <c r="H382" s="17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0" customHeight="1">
      <c r="A383" s="13"/>
      <c r="B383" s="14"/>
      <c r="C383" s="14"/>
      <c r="D383" s="16" t="s">
        <v>510</v>
      </c>
      <c r="E383" s="14"/>
      <c r="F383" s="14"/>
      <c r="G383" s="14"/>
      <c r="H383" s="17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0" customHeight="1">
      <c r="A384" s="18"/>
      <c r="B384" s="19"/>
      <c r="C384" s="19"/>
      <c r="D384" s="28" t="s">
        <v>511</v>
      </c>
      <c r="E384" s="19"/>
      <c r="F384" s="19"/>
      <c r="G384" s="19"/>
      <c r="H384" s="29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0" customHeight="1">
      <c r="A385" s="22" t="s">
        <v>512</v>
      </c>
      <c r="B385" s="23" t="s">
        <v>9</v>
      </c>
      <c r="C385" s="23" t="s">
        <v>513</v>
      </c>
      <c r="D385" s="24" t="s">
        <v>514</v>
      </c>
      <c r="E385" s="26" t="s">
        <v>12</v>
      </c>
      <c r="F385" s="23" t="s">
        <v>28</v>
      </c>
      <c r="G385" s="26" t="s">
        <v>515</v>
      </c>
      <c r="H385" s="57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0" customHeight="1">
      <c r="A386" s="13"/>
      <c r="B386" s="14"/>
      <c r="C386" s="14"/>
      <c r="D386" s="33" t="s">
        <v>516</v>
      </c>
      <c r="E386" s="14"/>
      <c r="F386" s="14"/>
      <c r="G386" s="14"/>
      <c r="H386" s="17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0" customHeight="1">
      <c r="A387" s="13"/>
      <c r="B387" s="14"/>
      <c r="C387" s="14"/>
      <c r="D387" s="16" t="s">
        <v>517</v>
      </c>
      <c r="E387" s="14"/>
      <c r="F387" s="14"/>
      <c r="G387" s="14"/>
      <c r="H387" s="17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0" customHeight="1">
      <c r="A388" s="13"/>
      <c r="B388" s="14"/>
      <c r="C388" s="14"/>
      <c r="D388" s="16" t="s">
        <v>518</v>
      </c>
      <c r="E388" s="14"/>
      <c r="F388" s="14"/>
      <c r="G388" s="14"/>
      <c r="H388" s="17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0" customHeight="1">
      <c r="A389" s="18"/>
      <c r="B389" s="19"/>
      <c r="C389" s="19"/>
      <c r="D389" s="21" t="s">
        <v>86</v>
      </c>
      <c r="E389" s="19"/>
      <c r="F389" s="19"/>
      <c r="G389" s="19"/>
      <c r="H389" s="29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0" customHeight="1">
      <c r="A390" s="124" t="s">
        <v>519</v>
      </c>
      <c r="B390" s="35" t="s">
        <v>9</v>
      </c>
      <c r="C390" s="35" t="s">
        <v>180</v>
      </c>
      <c r="D390" s="36" t="s">
        <v>520</v>
      </c>
      <c r="E390" s="37" t="s">
        <v>12</v>
      </c>
      <c r="F390" s="38" t="s">
        <v>13</v>
      </c>
      <c r="G390" s="127" t="s">
        <v>521</v>
      </c>
      <c r="H390" s="27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0" customHeight="1">
      <c r="A391" s="64"/>
      <c r="B391" s="14"/>
      <c r="C391" s="14"/>
      <c r="D391" s="41" t="s">
        <v>289</v>
      </c>
      <c r="E391" s="14"/>
      <c r="F391" s="14"/>
      <c r="H391" s="17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0" customHeight="1">
      <c r="A392" s="64"/>
      <c r="B392" s="14"/>
      <c r="C392" s="14"/>
      <c r="D392" s="41" t="s">
        <v>261</v>
      </c>
      <c r="E392" s="14"/>
      <c r="F392" s="14"/>
      <c r="H392" s="17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0" customHeight="1">
      <c r="A393" s="64"/>
      <c r="B393" s="19"/>
      <c r="C393" s="19"/>
      <c r="D393" s="128" t="s">
        <v>522</v>
      </c>
      <c r="E393" s="19"/>
      <c r="F393" s="19"/>
      <c r="H393" s="29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0" customHeight="1">
      <c r="A394" s="22" t="s">
        <v>523</v>
      </c>
      <c r="B394" s="35" t="s">
        <v>18</v>
      </c>
      <c r="C394" s="23" t="s">
        <v>26</v>
      </c>
      <c r="D394" s="31" t="s">
        <v>524</v>
      </c>
      <c r="E394" s="26" t="s">
        <v>12</v>
      </c>
      <c r="F394" s="58" t="s">
        <v>168</v>
      </c>
      <c r="G394" s="44" t="s">
        <v>525</v>
      </c>
      <c r="H394" s="27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0" customHeight="1">
      <c r="A395" s="13"/>
      <c r="B395" s="14"/>
      <c r="C395" s="14"/>
      <c r="D395" s="16" t="s">
        <v>526</v>
      </c>
      <c r="E395" s="14"/>
      <c r="F395" s="14"/>
      <c r="G395" s="14"/>
      <c r="H395" s="17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0" customHeight="1">
      <c r="A396" s="18"/>
      <c r="B396" s="19"/>
      <c r="C396" s="19"/>
      <c r="D396" s="21" t="s">
        <v>94</v>
      </c>
      <c r="E396" s="19"/>
      <c r="F396" s="19"/>
      <c r="G396" s="19"/>
      <c r="H396" s="29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0" customHeight="1">
      <c r="A397" s="129" t="s">
        <v>527</v>
      </c>
      <c r="B397" s="35" t="s">
        <v>137</v>
      </c>
      <c r="C397" s="35" t="s">
        <v>35</v>
      </c>
      <c r="D397" s="36" t="s">
        <v>528</v>
      </c>
      <c r="E397" s="37" t="s">
        <v>12</v>
      </c>
      <c r="F397" s="38" t="s">
        <v>168</v>
      </c>
      <c r="G397" s="46" t="s">
        <v>529</v>
      </c>
      <c r="H397" s="8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0" customHeight="1">
      <c r="A398" s="18"/>
      <c r="B398" s="19"/>
      <c r="C398" s="19"/>
      <c r="D398" s="42" t="s">
        <v>211</v>
      </c>
      <c r="E398" s="19"/>
      <c r="F398" s="19"/>
      <c r="G398" s="19"/>
      <c r="H398" s="29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0" customHeight="1">
      <c r="A399" s="105" t="s">
        <v>530</v>
      </c>
      <c r="B399" s="23" t="s">
        <v>9</v>
      </c>
      <c r="C399" s="23" t="s">
        <v>79</v>
      </c>
      <c r="D399" s="31" t="s">
        <v>531</v>
      </c>
      <c r="E399" s="26" t="s">
        <v>12</v>
      </c>
      <c r="F399" s="58" t="s">
        <v>43</v>
      </c>
      <c r="G399" s="26" t="s">
        <v>532</v>
      </c>
      <c r="H399" s="8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0" customHeight="1">
      <c r="A400" s="13"/>
      <c r="B400" s="14"/>
      <c r="C400" s="14"/>
      <c r="D400" s="33" t="s">
        <v>533</v>
      </c>
      <c r="E400" s="14"/>
      <c r="F400" s="14"/>
      <c r="G400" s="14"/>
      <c r="H400" s="17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0" customHeight="1">
      <c r="A401" s="13"/>
      <c r="B401" s="14"/>
      <c r="C401" s="14"/>
      <c r="D401" s="33" t="s">
        <v>534</v>
      </c>
      <c r="E401" s="14"/>
      <c r="F401" s="14"/>
      <c r="G401" s="14"/>
      <c r="H401" s="17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0" customHeight="1">
      <c r="A402" s="13"/>
      <c r="B402" s="14"/>
      <c r="C402" s="14"/>
      <c r="D402" s="33" t="s">
        <v>535</v>
      </c>
      <c r="E402" s="14"/>
      <c r="F402" s="14"/>
      <c r="G402" s="14"/>
      <c r="H402" s="17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0" customHeight="1">
      <c r="A403" s="18"/>
      <c r="B403" s="19"/>
      <c r="C403" s="19"/>
      <c r="D403" s="21" t="s">
        <v>86</v>
      </c>
      <c r="E403" s="19"/>
      <c r="F403" s="19"/>
      <c r="G403" s="19"/>
      <c r="H403" s="29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0" customHeight="1">
      <c r="A404" s="22" t="s">
        <v>536</v>
      </c>
      <c r="B404" s="23" t="s">
        <v>9</v>
      </c>
      <c r="C404" s="23" t="s">
        <v>252</v>
      </c>
      <c r="D404" s="31" t="s">
        <v>537</v>
      </c>
      <c r="E404" s="26" t="s">
        <v>12</v>
      </c>
      <c r="F404" s="58" t="s">
        <v>28</v>
      </c>
      <c r="G404" s="44" t="s">
        <v>538</v>
      </c>
      <c r="H404" s="27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0" customHeight="1">
      <c r="A405" s="13"/>
      <c r="B405" s="14"/>
      <c r="C405" s="14"/>
      <c r="D405" s="16" t="s">
        <v>539</v>
      </c>
      <c r="E405" s="14"/>
      <c r="F405" s="14"/>
      <c r="G405" s="14"/>
      <c r="H405" s="17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0" customHeight="1">
      <c r="A406" s="13"/>
      <c r="B406" s="14"/>
      <c r="C406" s="14"/>
      <c r="D406" s="33" t="s">
        <v>124</v>
      </c>
      <c r="E406" s="14"/>
      <c r="F406" s="14"/>
      <c r="G406" s="14"/>
      <c r="H406" s="17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0" customHeight="1">
      <c r="A407" s="18"/>
      <c r="B407" s="19"/>
      <c r="C407" s="19"/>
      <c r="D407" s="28" t="s">
        <v>289</v>
      </c>
      <c r="E407" s="19"/>
      <c r="F407" s="19"/>
      <c r="G407" s="19"/>
      <c r="H407" s="29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0" customHeight="1">
      <c r="A408" s="22" t="s">
        <v>540</v>
      </c>
      <c r="B408" s="23" t="s">
        <v>18</v>
      </c>
      <c r="C408" s="23" t="s">
        <v>19</v>
      </c>
      <c r="D408" s="24" t="s">
        <v>279</v>
      </c>
      <c r="E408" s="26" t="s">
        <v>12</v>
      </c>
      <c r="F408" s="58" t="s">
        <v>13</v>
      </c>
      <c r="G408" s="44" t="s">
        <v>541</v>
      </c>
      <c r="H408" s="57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0" customHeight="1">
      <c r="A409" s="13"/>
      <c r="B409" s="14"/>
      <c r="C409" s="14"/>
      <c r="D409" s="16" t="s">
        <v>542</v>
      </c>
      <c r="E409" s="14"/>
      <c r="F409" s="14"/>
      <c r="G409" s="14"/>
      <c r="H409" s="17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0" customHeight="1">
      <c r="A410" s="18"/>
      <c r="B410" s="19"/>
      <c r="C410" s="19"/>
      <c r="D410" s="28" t="s">
        <v>117</v>
      </c>
      <c r="E410" s="19"/>
      <c r="F410" s="19"/>
      <c r="G410" s="19"/>
      <c r="H410" s="29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130"/>
      <c r="D411" s="131"/>
      <c r="E411" s="130"/>
      <c r="F411" s="130"/>
      <c r="G411" s="130"/>
      <c r="H411" s="130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130"/>
      <c r="D412" s="131"/>
      <c r="E412" s="130"/>
      <c r="F412" s="130"/>
      <c r="G412" s="130"/>
      <c r="H412" s="130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130"/>
      <c r="D413" s="131"/>
      <c r="E413" s="130"/>
      <c r="F413" s="130"/>
      <c r="G413" s="130"/>
      <c r="H413" s="130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130"/>
      <c r="D414" s="131"/>
      <c r="E414" s="130"/>
      <c r="F414" s="130"/>
      <c r="G414" s="130"/>
      <c r="H414" s="130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130"/>
      <c r="D415" s="131"/>
      <c r="E415" s="130"/>
      <c r="F415" s="130"/>
      <c r="G415" s="130"/>
      <c r="H415" s="130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130"/>
      <c r="D416" s="131"/>
      <c r="E416" s="130"/>
      <c r="F416" s="130"/>
      <c r="G416" s="130"/>
      <c r="H416" s="130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130"/>
      <c r="D417" s="131"/>
      <c r="E417" s="130"/>
      <c r="F417" s="130"/>
      <c r="G417" s="130"/>
      <c r="H417" s="130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130"/>
      <c r="D418" s="131"/>
      <c r="E418" s="130"/>
      <c r="F418" s="130"/>
      <c r="G418" s="130"/>
      <c r="H418" s="130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130"/>
      <c r="D419" s="131"/>
      <c r="E419" s="130"/>
      <c r="F419" s="130"/>
      <c r="G419" s="130"/>
      <c r="H419" s="130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130"/>
      <c r="D420" s="131"/>
      <c r="E420" s="130"/>
      <c r="F420" s="130"/>
      <c r="G420" s="130"/>
      <c r="H420" s="130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130"/>
      <c r="D421" s="131"/>
      <c r="E421" s="130"/>
      <c r="F421" s="130"/>
      <c r="G421" s="130"/>
      <c r="H421" s="130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130"/>
      <c r="D422" s="131"/>
      <c r="E422" s="130"/>
      <c r="F422" s="130"/>
      <c r="G422" s="130"/>
      <c r="H422" s="130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130"/>
      <c r="D423" s="131"/>
      <c r="E423" s="130"/>
      <c r="F423" s="130"/>
      <c r="G423" s="130"/>
      <c r="H423" s="130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130"/>
      <c r="D424" s="131"/>
      <c r="E424" s="130"/>
      <c r="F424" s="130"/>
      <c r="G424" s="130"/>
      <c r="H424" s="130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130"/>
      <c r="D425" s="131"/>
      <c r="E425" s="130"/>
      <c r="F425" s="130"/>
      <c r="G425" s="130"/>
      <c r="H425" s="130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130"/>
      <c r="D426" s="131"/>
      <c r="E426" s="130"/>
      <c r="F426" s="130"/>
      <c r="G426" s="130"/>
      <c r="H426" s="130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130"/>
      <c r="D427" s="131"/>
      <c r="E427" s="130"/>
      <c r="F427" s="130"/>
      <c r="G427" s="130"/>
      <c r="H427" s="130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130"/>
      <c r="D428" s="131"/>
      <c r="E428" s="130"/>
      <c r="F428" s="130"/>
      <c r="G428" s="130"/>
      <c r="H428" s="130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130"/>
      <c r="D429" s="131"/>
      <c r="E429" s="130"/>
      <c r="F429" s="130"/>
      <c r="G429" s="130"/>
      <c r="H429" s="130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130"/>
      <c r="D430" s="131"/>
      <c r="E430" s="130"/>
      <c r="F430" s="130"/>
      <c r="G430" s="130"/>
      <c r="H430" s="130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130"/>
      <c r="D431" s="131"/>
      <c r="E431" s="130"/>
      <c r="F431" s="130"/>
      <c r="G431" s="130"/>
      <c r="H431" s="130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130"/>
      <c r="D432" s="131"/>
      <c r="E432" s="130"/>
      <c r="F432" s="130"/>
      <c r="G432" s="130"/>
      <c r="H432" s="130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130"/>
      <c r="D433" s="131"/>
      <c r="E433" s="130"/>
      <c r="F433" s="130"/>
      <c r="G433" s="130"/>
      <c r="H433" s="130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130"/>
      <c r="D434" s="131"/>
      <c r="E434" s="130"/>
      <c r="F434" s="130"/>
      <c r="G434" s="130"/>
      <c r="H434" s="130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130"/>
      <c r="D435" s="131"/>
      <c r="E435" s="130"/>
      <c r="F435" s="130"/>
      <c r="G435" s="130"/>
      <c r="H435" s="130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130"/>
      <c r="D436" s="131"/>
      <c r="E436" s="130"/>
      <c r="F436" s="130"/>
      <c r="G436" s="130"/>
      <c r="H436" s="130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130"/>
      <c r="D437" s="131"/>
      <c r="E437" s="130"/>
      <c r="F437" s="130"/>
      <c r="G437" s="130"/>
      <c r="H437" s="130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130"/>
      <c r="D438" s="131"/>
      <c r="E438" s="130"/>
      <c r="F438" s="130"/>
      <c r="G438" s="130"/>
      <c r="H438" s="130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130"/>
      <c r="D439" s="131"/>
      <c r="E439" s="130"/>
      <c r="F439" s="130"/>
      <c r="G439" s="130"/>
      <c r="H439" s="130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130"/>
      <c r="D440" s="131"/>
      <c r="E440" s="130"/>
      <c r="F440" s="130"/>
      <c r="G440" s="130"/>
      <c r="H440" s="130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130"/>
      <c r="D441" s="131"/>
      <c r="E441" s="130"/>
      <c r="F441" s="130"/>
      <c r="G441" s="130"/>
      <c r="H441" s="130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130"/>
      <c r="D442" s="131"/>
      <c r="E442" s="130"/>
      <c r="F442" s="130"/>
      <c r="G442" s="130"/>
      <c r="H442" s="130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130"/>
      <c r="D443" s="131"/>
      <c r="E443" s="130"/>
      <c r="F443" s="130"/>
      <c r="G443" s="130"/>
      <c r="H443" s="130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130"/>
      <c r="D444" s="131"/>
      <c r="E444" s="130"/>
      <c r="F444" s="130"/>
      <c r="G444" s="130"/>
      <c r="H444" s="130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130"/>
      <c r="D445" s="131"/>
      <c r="E445" s="130"/>
      <c r="F445" s="130"/>
      <c r="G445" s="130"/>
      <c r="H445" s="130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130"/>
      <c r="D446" s="131"/>
      <c r="E446" s="130"/>
      <c r="F446" s="130"/>
      <c r="G446" s="130"/>
      <c r="H446" s="130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130"/>
      <c r="D447" s="131"/>
      <c r="E447" s="130"/>
      <c r="F447" s="130"/>
      <c r="G447" s="130"/>
      <c r="H447" s="130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130"/>
      <c r="D448" s="131"/>
      <c r="E448" s="130"/>
      <c r="F448" s="130"/>
      <c r="G448" s="130"/>
      <c r="H448" s="130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130"/>
      <c r="D449" s="131"/>
      <c r="E449" s="130"/>
      <c r="F449" s="130"/>
      <c r="G449" s="130"/>
      <c r="H449" s="130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130"/>
      <c r="D450" s="131"/>
      <c r="E450" s="130"/>
      <c r="F450" s="130"/>
      <c r="G450" s="130"/>
      <c r="H450" s="130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130"/>
      <c r="D451" s="131"/>
      <c r="E451" s="130"/>
      <c r="F451" s="130"/>
      <c r="G451" s="130"/>
      <c r="H451" s="130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130"/>
      <c r="D452" s="131"/>
      <c r="E452" s="130"/>
      <c r="F452" s="130"/>
      <c r="G452" s="130"/>
      <c r="H452" s="130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130"/>
      <c r="D453" s="131"/>
      <c r="E453" s="130"/>
      <c r="F453" s="130"/>
      <c r="G453" s="130"/>
      <c r="H453" s="130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130"/>
      <c r="D454" s="131"/>
      <c r="E454" s="130"/>
      <c r="F454" s="130"/>
      <c r="G454" s="130"/>
      <c r="H454" s="130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130"/>
      <c r="D455" s="131"/>
      <c r="E455" s="130"/>
      <c r="F455" s="130"/>
      <c r="G455" s="130"/>
      <c r="H455" s="130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130"/>
      <c r="D456" s="131"/>
      <c r="E456" s="130"/>
      <c r="F456" s="130"/>
      <c r="G456" s="130"/>
      <c r="H456" s="130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130"/>
      <c r="D457" s="131"/>
      <c r="E457" s="130"/>
      <c r="F457" s="130"/>
      <c r="G457" s="130"/>
      <c r="H457" s="130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130"/>
      <c r="D458" s="131"/>
      <c r="E458" s="130"/>
      <c r="F458" s="130"/>
      <c r="G458" s="130"/>
      <c r="H458" s="130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130"/>
      <c r="D459" s="131"/>
      <c r="E459" s="130"/>
      <c r="F459" s="130"/>
      <c r="G459" s="130"/>
      <c r="H459" s="130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130"/>
      <c r="D460" s="131"/>
      <c r="E460" s="130"/>
      <c r="F460" s="130"/>
      <c r="G460" s="130"/>
      <c r="H460" s="130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130"/>
      <c r="D461" s="131"/>
      <c r="E461" s="130"/>
      <c r="F461" s="130"/>
      <c r="G461" s="130"/>
      <c r="H461" s="130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130"/>
      <c r="D462" s="131"/>
      <c r="E462" s="130"/>
      <c r="F462" s="130"/>
      <c r="G462" s="130"/>
      <c r="H462" s="130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130"/>
      <c r="D463" s="131"/>
      <c r="E463" s="130"/>
      <c r="F463" s="130"/>
      <c r="G463" s="130"/>
      <c r="H463" s="130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130"/>
      <c r="D464" s="131"/>
      <c r="E464" s="130"/>
      <c r="F464" s="130"/>
      <c r="G464" s="130"/>
      <c r="H464" s="130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130"/>
      <c r="D465" s="131"/>
      <c r="E465" s="130"/>
      <c r="F465" s="130"/>
      <c r="G465" s="130"/>
      <c r="H465" s="130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130"/>
      <c r="D466" s="131"/>
      <c r="E466" s="130"/>
      <c r="F466" s="130"/>
      <c r="G466" s="130"/>
      <c r="H466" s="130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130"/>
      <c r="D467" s="131"/>
      <c r="E467" s="130"/>
      <c r="F467" s="130"/>
      <c r="G467" s="130"/>
      <c r="H467" s="130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130"/>
      <c r="D468" s="131"/>
      <c r="E468" s="130"/>
      <c r="F468" s="130"/>
      <c r="G468" s="130"/>
      <c r="H468" s="130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130"/>
      <c r="D469" s="131"/>
      <c r="E469" s="130"/>
      <c r="F469" s="130"/>
      <c r="G469" s="130"/>
      <c r="H469" s="130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130"/>
      <c r="D470" s="131"/>
      <c r="E470" s="130"/>
      <c r="F470" s="130"/>
      <c r="G470" s="130"/>
      <c r="H470" s="130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130"/>
      <c r="D471" s="131"/>
      <c r="E471" s="130"/>
      <c r="F471" s="130"/>
      <c r="G471" s="130"/>
      <c r="H471" s="130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130"/>
      <c r="D472" s="131"/>
      <c r="E472" s="130"/>
      <c r="F472" s="130"/>
      <c r="G472" s="130"/>
      <c r="H472" s="130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130"/>
      <c r="D473" s="131"/>
      <c r="E473" s="130"/>
      <c r="F473" s="130"/>
      <c r="G473" s="130"/>
      <c r="H473" s="130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130"/>
      <c r="D474" s="131"/>
      <c r="E474" s="130"/>
      <c r="F474" s="130"/>
      <c r="G474" s="130"/>
      <c r="H474" s="130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130"/>
      <c r="D475" s="131"/>
      <c r="E475" s="130"/>
      <c r="F475" s="130"/>
      <c r="G475" s="130"/>
      <c r="H475" s="130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130"/>
      <c r="D476" s="131"/>
      <c r="E476" s="130"/>
      <c r="F476" s="130"/>
      <c r="G476" s="130"/>
      <c r="H476" s="130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130"/>
      <c r="D477" s="131"/>
      <c r="E477" s="130"/>
      <c r="F477" s="130"/>
      <c r="G477" s="130"/>
      <c r="H477" s="130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130"/>
      <c r="D478" s="131"/>
      <c r="E478" s="130"/>
      <c r="F478" s="130"/>
      <c r="G478" s="130"/>
      <c r="H478" s="130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130"/>
      <c r="D479" s="131"/>
      <c r="E479" s="130"/>
      <c r="F479" s="130"/>
      <c r="G479" s="130"/>
      <c r="H479" s="130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130"/>
      <c r="D480" s="131"/>
      <c r="E480" s="130"/>
      <c r="F480" s="130"/>
      <c r="G480" s="130"/>
      <c r="H480" s="130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130"/>
      <c r="D481" s="131"/>
      <c r="E481" s="130"/>
      <c r="F481" s="130"/>
      <c r="G481" s="130"/>
      <c r="H481" s="130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130"/>
      <c r="D482" s="131"/>
      <c r="E482" s="130"/>
      <c r="F482" s="130"/>
      <c r="G482" s="130"/>
      <c r="H482" s="130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130"/>
      <c r="D483" s="131"/>
      <c r="E483" s="130"/>
      <c r="F483" s="130"/>
      <c r="G483" s="130"/>
      <c r="H483" s="130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130"/>
      <c r="D484" s="131"/>
      <c r="E484" s="130"/>
      <c r="F484" s="130"/>
      <c r="G484" s="130"/>
      <c r="H484" s="130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130"/>
      <c r="D485" s="131"/>
      <c r="E485" s="130"/>
      <c r="F485" s="130"/>
      <c r="G485" s="130"/>
      <c r="H485" s="130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130"/>
      <c r="D486" s="131"/>
      <c r="E486" s="130"/>
      <c r="F486" s="130"/>
      <c r="G486" s="130"/>
      <c r="H486" s="130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130"/>
      <c r="D487" s="131"/>
      <c r="E487" s="130"/>
      <c r="F487" s="130"/>
      <c r="G487" s="130"/>
      <c r="H487" s="130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130"/>
      <c r="D488" s="131"/>
      <c r="E488" s="130"/>
      <c r="F488" s="130"/>
      <c r="G488" s="130"/>
      <c r="H488" s="130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130"/>
      <c r="D489" s="131"/>
      <c r="E489" s="130"/>
      <c r="F489" s="130"/>
      <c r="G489" s="130"/>
      <c r="H489" s="130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130"/>
      <c r="D490" s="131"/>
      <c r="E490" s="130"/>
      <c r="F490" s="130"/>
      <c r="G490" s="130"/>
      <c r="H490" s="130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130"/>
      <c r="D491" s="131"/>
      <c r="E491" s="130"/>
      <c r="F491" s="130"/>
      <c r="G491" s="130"/>
      <c r="H491" s="130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130"/>
      <c r="D492" s="131"/>
      <c r="E492" s="130"/>
      <c r="F492" s="130"/>
      <c r="G492" s="130"/>
      <c r="H492" s="130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130"/>
      <c r="D493" s="131"/>
      <c r="E493" s="130"/>
      <c r="F493" s="130"/>
      <c r="G493" s="130"/>
      <c r="H493" s="130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130"/>
      <c r="D494" s="131"/>
      <c r="E494" s="130"/>
      <c r="F494" s="130"/>
      <c r="G494" s="130"/>
      <c r="H494" s="130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130"/>
      <c r="D495" s="131"/>
      <c r="E495" s="130"/>
      <c r="F495" s="130"/>
      <c r="G495" s="130"/>
      <c r="H495" s="130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130"/>
      <c r="D496" s="131"/>
      <c r="E496" s="130"/>
      <c r="F496" s="130"/>
      <c r="G496" s="130"/>
      <c r="H496" s="130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130"/>
      <c r="D497" s="131"/>
      <c r="E497" s="130"/>
      <c r="F497" s="130"/>
      <c r="G497" s="130"/>
      <c r="H497" s="130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130"/>
      <c r="D498" s="131"/>
      <c r="E498" s="130"/>
      <c r="F498" s="130"/>
      <c r="G498" s="130"/>
      <c r="H498" s="130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130"/>
      <c r="D499" s="131"/>
      <c r="E499" s="130"/>
      <c r="F499" s="130"/>
      <c r="G499" s="130"/>
      <c r="H499" s="130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130"/>
      <c r="D500" s="131"/>
      <c r="E500" s="130"/>
      <c r="F500" s="130"/>
      <c r="G500" s="130"/>
      <c r="H500" s="130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130"/>
      <c r="D501" s="131"/>
      <c r="E501" s="130"/>
      <c r="F501" s="130"/>
      <c r="G501" s="130"/>
      <c r="H501" s="130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130"/>
      <c r="D502" s="131"/>
      <c r="E502" s="130"/>
      <c r="F502" s="130"/>
      <c r="G502" s="130"/>
      <c r="H502" s="130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130"/>
      <c r="D503" s="131"/>
      <c r="E503" s="130"/>
      <c r="F503" s="130"/>
      <c r="G503" s="130"/>
      <c r="H503" s="130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130"/>
      <c r="D504" s="131"/>
      <c r="E504" s="130"/>
      <c r="F504" s="130"/>
      <c r="G504" s="130"/>
      <c r="H504" s="130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130"/>
      <c r="D505" s="131"/>
      <c r="E505" s="130"/>
      <c r="F505" s="130"/>
      <c r="G505" s="130"/>
      <c r="H505" s="130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130"/>
      <c r="D506" s="131"/>
      <c r="E506" s="130"/>
      <c r="F506" s="130"/>
      <c r="G506" s="130"/>
      <c r="H506" s="130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130"/>
      <c r="D507" s="131"/>
      <c r="E507" s="130"/>
      <c r="F507" s="130"/>
      <c r="G507" s="130"/>
      <c r="H507" s="130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130"/>
      <c r="D508" s="131"/>
      <c r="E508" s="130"/>
      <c r="F508" s="130"/>
      <c r="G508" s="130"/>
      <c r="H508" s="130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130"/>
      <c r="D509" s="131"/>
      <c r="E509" s="130"/>
      <c r="F509" s="130"/>
      <c r="G509" s="130"/>
      <c r="H509" s="130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130"/>
      <c r="D510" s="131"/>
      <c r="E510" s="130"/>
      <c r="F510" s="130"/>
      <c r="G510" s="130"/>
      <c r="H510" s="130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130"/>
      <c r="D511" s="131"/>
      <c r="E511" s="130"/>
      <c r="F511" s="130"/>
      <c r="G511" s="130"/>
      <c r="H511" s="130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130"/>
      <c r="D512" s="131"/>
      <c r="E512" s="130"/>
      <c r="F512" s="130"/>
      <c r="G512" s="130"/>
      <c r="H512" s="130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130"/>
      <c r="D513" s="131"/>
      <c r="E513" s="130"/>
      <c r="F513" s="130"/>
      <c r="G513" s="130"/>
      <c r="H513" s="130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130"/>
      <c r="D514" s="131"/>
      <c r="E514" s="130"/>
      <c r="F514" s="130"/>
      <c r="G514" s="130"/>
      <c r="H514" s="130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130"/>
      <c r="D515" s="131"/>
      <c r="E515" s="130"/>
      <c r="F515" s="130"/>
      <c r="G515" s="130"/>
      <c r="H515" s="130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130"/>
      <c r="D516" s="131"/>
      <c r="E516" s="130"/>
      <c r="F516" s="130"/>
      <c r="G516" s="130"/>
      <c r="H516" s="130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130"/>
      <c r="D517" s="131"/>
      <c r="E517" s="130"/>
      <c r="F517" s="130"/>
      <c r="G517" s="130"/>
      <c r="H517" s="130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130"/>
      <c r="D518" s="131"/>
      <c r="E518" s="130"/>
      <c r="F518" s="130"/>
      <c r="G518" s="130"/>
      <c r="H518" s="130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130"/>
      <c r="D519" s="131"/>
      <c r="E519" s="130"/>
      <c r="F519" s="130"/>
      <c r="G519" s="130"/>
      <c r="H519" s="130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130"/>
      <c r="D520" s="131"/>
      <c r="E520" s="130"/>
      <c r="F520" s="130"/>
      <c r="G520" s="130"/>
      <c r="H520" s="130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130"/>
      <c r="D521" s="131"/>
      <c r="E521" s="130"/>
      <c r="F521" s="130"/>
      <c r="G521" s="130"/>
      <c r="H521" s="130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130"/>
      <c r="D522" s="131"/>
      <c r="E522" s="130"/>
      <c r="F522" s="130"/>
      <c r="G522" s="130"/>
      <c r="H522" s="130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130"/>
      <c r="D523" s="131"/>
      <c r="E523" s="130"/>
      <c r="F523" s="130"/>
      <c r="G523" s="130"/>
      <c r="H523" s="130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130"/>
      <c r="D524" s="131"/>
      <c r="E524" s="130"/>
      <c r="F524" s="130"/>
      <c r="G524" s="130"/>
      <c r="H524" s="130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130"/>
      <c r="D525" s="131"/>
      <c r="E525" s="130"/>
      <c r="F525" s="130"/>
      <c r="G525" s="130"/>
      <c r="H525" s="130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130"/>
      <c r="D526" s="131"/>
      <c r="E526" s="130"/>
      <c r="F526" s="130"/>
      <c r="G526" s="130"/>
      <c r="H526" s="130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130"/>
      <c r="D527" s="131"/>
      <c r="E527" s="130"/>
      <c r="F527" s="130"/>
      <c r="G527" s="130"/>
      <c r="H527" s="130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130"/>
      <c r="D528" s="131"/>
      <c r="E528" s="130"/>
      <c r="F528" s="130"/>
      <c r="G528" s="130"/>
      <c r="H528" s="130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130"/>
      <c r="D529" s="131"/>
      <c r="E529" s="130"/>
      <c r="F529" s="130"/>
      <c r="G529" s="130"/>
      <c r="H529" s="130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130"/>
      <c r="D530" s="131"/>
      <c r="E530" s="130"/>
      <c r="F530" s="130"/>
      <c r="G530" s="130"/>
      <c r="H530" s="130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130"/>
      <c r="D531" s="131"/>
      <c r="E531" s="130"/>
      <c r="F531" s="130"/>
      <c r="G531" s="130"/>
      <c r="H531" s="130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130"/>
      <c r="D532" s="131"/>
      <c r="E532" s="130"/>
      <c r="F532" s="130"/>
      <c r="G532" s="130"/>
      <c r="H532" s="130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130"/>
      <c r="D533" s="131"/>
      <c r="E533" s="130"/>
      <c r="F533" s="130"/>
      <c r="G533" s="130"/>
      <c r="H533" s="130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130"/>
      <c r="D534" s="131"/>
      <c r="E534" s="130"/>
      <c r="F534" s="130"/>
      <c r="G534" s="130"/>
      <c r="H534" s="130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130"/>
      <c r="D535" s="131"/>
      <c r="E535" s="130"/>
      <c r="F535" s="130"/>
      <c r="G535" s="130"/>
      <c r="H535" s="130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130"/>
      <c r="D536" s="131"/>
      <c r="E536" s="130"/>
      <c r="F536" s="130"/>
      <c r="G536" s="130"/>
      <c r="H536" s="130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130"/>
      <c r="D537" s="131"/>
      <c r="E537" s="130"/>
      <c r="F537" s="130"/>
      <c r="G537" s="130"/>
      <c r="H537" s="130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130"/>
      <c r="D538" s="131"/>
      <c r="E538" s="130"/>
      <c r="F538" s="130"/>
      <c r="G538" s="130"/>
      <c r="H538" s="130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130"/>
      <c r="D539" s="131"/>
      <c r="E539" s="130"/>
      <c r="F539" s="130"/>
      <c r="G539" s="130"/>
      <c r="H539" s="130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130"/>
      <c r="D540" s="131"/>
      <c r="E540" s="130"/>
      <c r="F540" s="130"/>
      <c r="G540" s="130"/>
      <c r="H540" s="130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130"/>
      <c r="D541" s="131"/>
      <c r="E541" s="130"/>
      <c r="F541" s="130"/>
      <c r="G541" s="130"/>
      <c r="H541" s="130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130"/>
      <c r="D542" s="131"/>
      <c r="E542" s="130"/>
      <c r="F542" s="130"/>
      <c r="G542" s="130"/>
      <c r="H542" s="130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130"/>
      <c r="D543" s="131"/>
      <c r="E543" s="130"/>
      <c r="F543" s="130"/>
      <c r="G543" s="130"/>
      <c r="H543" s="130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130"/>
      <c r="D544" s="131"/>
      <c r="E544" s="130"/>
      <c r="F544" s="130"/>
      <c r="G544" s="130"/>
      <c r="H544" s="130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130"/>
      <c r="D545" s="131"/>
      <c r="E545" s="130"/>
      <c r="F545" s="130"/>
      <c r="G545" s="130"/>
      <c r="H545" s="130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130"/>
      <c r="D546" s="131"/>
      <c r="E546" s="130"/>
      <c r="F546" s="130"/>
      <c r="G546" s="130"/>
      <c r="H546" s="130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130"/>
      <c r="D547" s="131"/>
      <c r="E547" s="130"/>
      <c r="F547" s="130"/>
      <c r="G547" s="130"/>
      <c r="H547" s="130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130"/>
      <c r="D548" s="131"/>
      <c r="E548" s="130"/>
      <c r="F548" s="130"/>
      <c r="G548" s="130"/>
      <c r="H548" s="130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130"/>
      <c r="D549" s="131"/>
      <c r="E549" s="130"/>
      <c r="F549" s="130"/>
      <c r="G549" s="130"/>
      <c r="H549" s="130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130"/>
      <c r="D550" s="131"/>
      <c r="E550" s="130"/>
      <c r="F550" s="130"/>
      <c r="G550" s="130"/>
      <c r="H550" s="130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130"/>
      <c r="D551" s="131"/>
      <c r="E551" s="130"/>
      <c r="F551" s="130"/>
      <c r="G551" s="130"/>
      <c r="H551" s="130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130"/>
      <c r="D552" s="131"/>
      <c r="E552" s="130"/>
      <c r="F552" s="130"/>
      <c r="G552" s="130"/>
      <c r="H552" s="130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130"/>
      <c r="D553" s="131"/>
      <c r="E553" s="130"/>
      <c r="F553" s="130"/>
      <c r="G553" s="130"/>
      <c r="H553" s="130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130"/>
      <c r="D554" s="131"/>
      <c r="E554" s="130"/>
      <c r="F554" s="130"/>
      <c r="G554" s="130"/>
      <c r="H554" s="130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130"/>
      <c r="D555" s="131"/>
      <c r="E555" s="130"/>
      <c r="F555" s="130"/>
      <c r="G555" s="130"/>
      <c r="H555" s="130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130"/>
      <c r="D556" s="131"/>
      <c r="E556" s="130"/>
      <c r="F556" s="130"/>
      <c r="G556" s="130"/>
      <c r="H556" s="130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130"/>
      <c r="D557" s="131"/>
      <c r="E557" s="130"/>
      <c r="F557" s="130"/>
      <c r="G557" s="130"/>
      <c r="H557" s="130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130"/>
      <c r="D558" s="131"/>
      <c r="E558" s="130"/>
      <c r="F558" s="130"/>
      <c r="G558" s="130"/>
      <c r="H558" s="130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130"/>
      <c r="D559" s="131"/>
      <c r="E559" s="130"/>
      <c r="F559" s="130"/>
      <c r="G559" s="130"/>
      <c r="H559" s="130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130"/>
      <c r="D560" s="131"/>
      <c r="E560" s="130"/>
      <c r="F560" s="130"/>
      <c r="G560" s="130"/>
      <c r="H560" s="130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130"/>
      <c r="D561" s="131"/>
      <c r="E561" s="130"/>
      <c r="F561" s="130"/>
      <c r="G561" s="130"/>
      <c r="H561" s="130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130"/>
      <c r="D562" s="131"/>
      <c r="E562" s="130"/>
      <c r="F562" s="130"/>
      <c r="G562" s="130"/>
      <c r="H562" s="130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130"/>
      <c r="D563" s="131"/>
      <c r="E563" s="130"/>
      <c r="F563" s="130"/>
      <c r="G563" s="130"/>
      <c r="H563" s="130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130"/>
      <c r="D564" s="131"/>
      <c r="E564" s="130"/>
      <c r="F564" s="130"/>
      <c r="G564" s="130"/>
      <c r="H564" s="130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130"/>
      <c r="D565" s="131"/>
      <c r="E565" s="130"/>
      <c r="F565" s="130"/>
      <c r="G565" s="130"/>
      <c r="H565" s="130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130"/>
      <c r="D566" s="131"/>
      <c r="E566" s="130"/>
      <c r="F566" s="130"/>
      <c r="G566" s="130"/>
      <c r="H566" s="130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130"/>
      <c r="D567" s="131"/>
      <c r="E567" s="130"/>
      <c r="F567" s="130"/>
      <c r="G567" s="130"/>
      <c r="H567" s="130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130"/>
      <c r="D568" s="131"/>
      <c r="E568" s="130"/>
      <c r="F568" s="130"/>
      <c r="G568" s="130"/>
      <c r="H568" s="130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130"/>
      <c r="D569" s="131"/>
      <c r="E569" s="130"/>
      <c r="F569" s="130"/>
      <c r="G569" s="130"/>
      <c r="H569" s="130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130"/>
      <c r="D570" s="131"/>
      <c r="E570" s="130"/>
      <c r="F570" s="130"/>
      <c r="G570" s="130"/>
      <c r="H570" s="130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130"/>
      <c r="D571" s="131"/>
      <c r="E571" s="130"/>
      <c r="F571" s="130"/>
      <c r="G571" s="130"/>
      <c r="H571" s="130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130"/>
      <c r="D572" s="131"/>
      <c r="E572" s="130"/>
      <c r="F572" s="130"/>
      <c r="G572" s="130"/>
      <c r="H572" s="130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130"/>
      <c r="D573" s="131"/>
      <c r="E573" s="130"/>
      <c r="F573" s="130"/>
      <c r="G573" s="130"/>
      <c r="H573" s="130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130"/>
      <c r="D574" s="131"/>
      <c r="E574" s="130"/>
      <c r="F574" s="130"/>
      <c r="G574" s="130"/>
      <c r="H574" s="130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130"/>
      <c r="D575" s="131"/>
      <c r="E575" s="130"/>
      <c r="F575" s="130"/>
      <c r="G575" s="130"/>
      <c r="H575" s="130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130"/>
      <c r="D576" s="131"/>
      <c r="E576" s="130"/>
      <c r="F576" s="130"/>
      <c r="G576" s="130"/>
      <c r="H576" s="130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130"/>
      <c r="D577" s="131"/>
      <c r="E577" s="130"/>
      <c r="F577" s="130"/>
      <c r="G577" s="130"/>
      <c r="H577" s="130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130"/>
      <c r="D578" s="131"/>
      <c r="E578" s="130"/>
      <c r="F578" s="130"/>
      <c r="G578" s="130"/>
      <c r="H578" s="130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130"/>
      <c r="D579" s="131"/>
      <c r="E579" s="130"/>
      <c r="F579" s="130"/>
      <c r="G579" s="130"/>
      <c r="H579" s="130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130"/>
      <c r="D580" s="131"/>
      <c r="E580" s="130"/>
      <c r="F580" s="130"/>
      <c r="G580" s="130"/>
      <c r="H580" s="130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130"/>
      <c r="D581" s="131"/>
      <c r="E581" s="130"/>
      <c r="F581" s="130"/>
      <c r="G581" s="130"/>
      <c r="H581" s="130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130"/>
      <c r="D582" s="131"/>
      <c r="E582" s="130"/>
      <c r="F582" s="130"/>
      <c r="G582" s="130"/>
      <c r="H582" s="130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130"/>
      <c r="D583" s="131"/>
      <c r="E583" s="130"/>
      <c r="F583" s="130"/>
      <c r="G583" s="130"/>
      <c r="H583" s="130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130"/>
      <c r="D584" s="131"/>
      <c r="E584" s="130"/>
      <c r="F584" s="130"/>
      <c r="G584" s="130"/>
      <c r="H584" s="130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130"/>
      <c r="D585" s="131"/>
      <c r="E585" s="130"/>
      <c r="F585" s="130"/>
      <c r="G585" s="130"/>
      <c r="H585" s="130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130"/>
      <c r="D586" s="131"/>
      <c r="E586" s="130"/>
      <c r="F586" s="130"/>
      <c r="G586" s="130"/>
      <c r="H586" s="130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130"/>
      <c r="D587" s="131"/>
      <c r="E587" s="130"/>
      <c r="F587" s="130"/>
      <c r="G587" s="130"/>
      <c r="H587" s="130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130"/>
      <c r="D588" s="131"/>
      <c r="E588" s="130"/>
      <c r="F588" s="130"/>
      <c r="G588" s="130"/>
      <c r="H588" s="130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130"/>
      <c r="D589" s="131"/>
      <c r="E589" s="130"/>
      <c r="F589" s="130"/>
      <c r="G589" s="130"/>
      <c r="H589" s="130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130"/>
      <c r="D590" s="131"/>
      <c r="E590" s="130"/>
      <c r="F590" s="130"/>
      <c r="G590" s="130"/>
      <c r="H590" s="130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130"/>
      <c r="D591" s="131"/>
      <c r="E591" s="130"/>
      <c r="F591" s="130"/>
      <c r="G591" s="130"/>
      <c r="H591" s="130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130"/>
      <c r="D592" s="131"/>
      <c r="E592" s="130"/>
      <c r="F592" s="130"/>
      <c r="G592" s="130"/>
      <c r="H592" s="130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130"/>
      <c r="D593" s="131"/>
      <c r="E593" s="130"/>
      <c r="F593" s="130"/>
      <c r="G593" s="130"/>
      <c r="H593" s="130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130"/>
      <c r="D594" s="131"/>
      <c r="E594" s="130"/>
      <c r="F594" s="130"/>
      <c r="G594" s="130"/>
      <c r="H594" s="130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130"/>
      <c r="D595" s="131"/>
      <c r="E595" s="130"/>
      <c r="F595" s="130"/>
      <c r="G595" s="130"/>
      <c r="H595" s="130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130"/>
      <c r="D596" s="131"/>
      <c r="E596" s="130"/>
      <c r="F596" s="130"/>
      <c r="G596" s="130"/>
      <c r="H596" s="130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130"/>
      <c r="D597" s="131"/>
      <c r="E597" s="130"/>
      <c r="F597" s="130"/>
      <c r="G597" s="130"/>
      <c r="H597" s="130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130"/>
      <c r="D598" s="131"/>
      <c r="E598" s="130"/>
      <c r="F598" s="130"/>
      <c r="G598" s="130"/>
      <c r="H598" s="130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130"/>
      <c r="D599" s="131"/>
      <c r="E599" s="130"/>
      <c r="F599" s="130"/>
      <c r="G599" s="130"/>
      <c r="H599" s="130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130"/>
      <c r="D600" s="131"/>
      <c r="E600" s="130"/>
      <c r="F600" s="130"/>
      <c r="G600" s="130"/>
      <c r="H600" s="130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130"/>
      <c r="D601" s="131"/>
      <c r="E601" s="130"/>
      <c r="F601" s="130"/>
      <c r="G601" s="130"/>
      <c r="H601" s="130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130"/>
      <c r="D602" s="131"/>
      <c r="E602" s="130"/>
      <c r="F602" s="130"/>
      <c r="G602" s="130"/>
      <c r="H602" s="130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130"/>
      <c r="D603" s="131"/>
      <c r="E603" s="130"/>
      <c r="F603" s="130"/>
      <c r="G603" s="130"/>
      <c r="H603" s="130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130"/>
      <c r="D604" s="131"/>
      <c r="E604" s="130"/>
      <c r="F604" s="130"/>
      <c r="G604" s="130"/>
      <c r="H604" s="130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130"/>
      <c r="D605" s="131"/>
      <c r="E605" s="130"/>
      <c r="F605" s="130"/>
      <c r="G605" s="130"/>
      <c r="H605" s="130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130"/>
      <c r="D606" s="131"/>
      <c r="E606" s="130"/>
      <c r="F606" s="130"/>
      <c r="G606" s="130"/>
      <c r="H606" s="130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130"/>
      <c r="D607" s="131"/>
      <c r="E607" s="130"/>
      <c r="F607" s="130"/>
      <c r="G607" s="130"/>
      <c r="H607" s="130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130"/>
      <c r="D608" s="131"/>
      <c r="E608" s="130"/>
      <c r="F608" s="130"/>
      <c r="G608" s="130"/>
      <c r="H608" s="130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130"/>
      <c r="D609" s="131"/>
      <c r="E609" s="130"/>
      <c r="F609" s="130"/>
      <c r="G609" s="130"/>
      <c r="H609" s="130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130"/>
      <c r="D610" s="131"/>
      <c r="E610" s="130"/>
      <c r="F610" s="130"/>
      <c r="G610" s="130"/>
      <c r="H610" s="130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32"/>
      <c r="B611" s="132"/>
      <c r="C611" s="132"/>
      <c r="D611" s="132"/>
      <c r="E611" s="132"/>
      <c r="F611" s="133"/>
      <c r="G611" s="133"/>
      <c r="H611" s="132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</row>
    <row r="612" ht="15.75" customHeight="1">
      <c r="A612" s="132"/>
      <c r="B612" s="132"/>
      <c r="C612" s="132"/>
      <c r="D612" s="132"/>
      <c r="E612" s="132"/>
      <c r="F612" s="133"/>
      <c r="G612" s="133"/>
      <c r="H612" s="132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</row>
    <row r="613" ht="15.75" customHeight="1">
      <c r="A613" s="132"/>
      <c r="B613" s="132"/>
      <c r="C613" s="132"/>
      <c r="D613" s="132"/>
      <c r="E613" s="132"/>
      <c r="F613" s="133"/>
      <c r="G613" s="133"/>
      <c r="H613" s="132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</row>
    <row r="614" ht="15.75" customHeight="1">
      <c r="A614" s="132"/>
      <c r="B614" s="132"/>
      <c r="C614" s="132"/>
      <c r="D614" s="132"/>
      <c r="E614" s="132"/>
      <c r="F614" s="133"/>
      <c r="G614" s="133"/>
      <c r="H614" s="132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</row>
    <row r="615" ht="15.75" customHeight="1">
      <c r="A615" s="132"/>
      <c r="B615" s="132"/>
      <c r="C615" s="132"/>
      <c r="D615" s="132"/>
      <c r="E615" s="132"/>
      <c r="F615" s="133"/>
      <c r="G615" s="133"/>
      <c r="H615" s="132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</row>
    <row r="616" ht="15.75" customHeight="1">
      <c r="A616" s="132"/>
      <c r="B616" s="132"/>
      <c r="C616" s="132"/>
      <c r="D616" s="132"/>
      <c r="E616" s="132"/>
      <c r="F616" s="133"/>
      <c r="G616" s="133"/>
      <c r="H616" s="132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</row>
    <row r="617" ht="15.75" customHeight="1">
      <c r="A617" s="132"/>
      <c r="B617" s="132"/>
      <c r="C617" s="132"/>
      <c r="D617" s="132"/>
      <c r="E617" s="132"/>
      <c r="F617" s="133"/>
      <c r="G617" s="133"/>
      <c r="H617" s="132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</row>
    <row r="618" ht="15.75" customHeight="1">
      <c r="A618" s="132"/>
      <c r="B618" s="132"/>
      <c r="C618" s="132"/>
      <c r="D618" s="132"/>
      <c r="E618" s="132"/>
      <c r="F618" s="133"/>
      <c r="G618" s="133"/>
      <c r="H618" s="132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</row>
    <row r="619" ht="15.75" customHeight="1">
      <c r="A619" s="132"/>
      <c r="B619" s="132"/>
      <c r="C619" s="132"/>
      <c r="D619" s="132"/>
      <c r="E619" s="132"/>
      <c r="F619" s="133"/>
      <c r="G619" s="133"/>
      <c r="H619" s="132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</row>
    <row r="620" ht="15.75" customHeight="1">
      <c r="A620" s="132"/>
      <c r="B620" s="132"/>
      <c r="C620" s="132"/>
      <c r="D620" s="132"/>
      <c r="E620" s="132"/>
      <c r="F620" s="133"/>
      <c r="G620" s="133"/>
      <c r="H620" s="132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</row>
    <row r="621" ht="15.75" customHeight="1">
      <c r="A621" s="132"/>
      <c r="B621" s="132"/>
      <c r="C621" s="132"/>
      <c r="D621" s="132"/>
      <c r="E621" s="132"/>
      <c r="F621" s="133"/>
      <c r="G621" s="133"/>
      <c r="H621" s="132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</row>
    <row r="622" ht="15.75" customHeight="1">
      <c r="A622" s="132"/>
      <c r="B622" s="132"/>
      <c r="C622" s="132"/>
      <c r="D622" s="132"/>
      <c r="E622" s="132"/>
      <c r="F622" s="133"/>
      <c r="G622" s="133"/>
      <c r="H622" s="132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</row>
    <row r="623" ht="15.75" customHeight="1">
      <c r="A623" s="132"/>
      <c r="B623" s="132"/>
      <c r="C623" s="132"/>
      <c r="D623" s="132"/>
      <c r="E623" s="132"/>
      <c r="F623" s="133"/>
      <c r="G623" s="133"/>
      <c r="H623" s="132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</row>
    <row r="624" ht="15.75" customHeight="1">
      <c r="A624" s="132"/>
      <c r="B624" s="132"/>
      <c r="C624" s="132"/>
      <c r="D624" s="132"/>
      <c r="E624" s="132"/>
      <c r="F624" s="133"/>
      <c r="G624" s="133"/>
      <c r="H624" s="132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</row>
    <row r="625" ht="15.75" customHeight="1">
      <c r="A625" s="132"/>
      <c r="B625" s="132"/>
      <c r="C625" s="132"/>
      <c r="D625" s="132"/>
      <c r="E625" s="132"/>
      <c r="F625" s="133"/>
      <c r="G625" s="133"/>
      <c r="H625" s="132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</row>
    <row r="626" ht="15.75" customHeight="1">
      <c r="A626" s="132"/>
      <c r="B626" s="132"/>
      <c r="C626" s="132"/>
      <c r="D626" s="132"/>
      <c r="E626" s="132"/>
      <c r="F626" s="133"/>
      <c r="G626" s="133"/>
      <c r="H626" s="132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</row>
    <row r="627" ht="15.75" customHeight="1">
      <c r="A627" s="132"/>
      <c r="B627" s="132"/>
      <c r="C627" s="132"/>
      <c r="D627" s="132"/>
      <c r="E627" s="132"/>
      <c r="F627" s="133"/>
      <c r="G627" s="133"/>
      <c r="H627" s="132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</row>
    <row r="628" ht="15.75" customHeight="1">
      <c r="A628" s="132"/>
      <c r="B628" s="132"/>
      <c r="C628" s="132"/>
      <c r="D628" s="132"/>
      <c r="E628" s="132"/>
      <c r="F628" s="133"/>
      <c r="G628" s="133"/>
      <c r="H628" s="132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</row>
    <row r="629" ht="15.75" customHeight="1">
      <c r="A629" s="132"/>
      <c r="B629" s="132"/>
      <c r="C629" s="132"/>
      <c r="D629" s="132"/>
      <c r="E629" s="132"/>
      <c r="F629" s="133"/>
      <c r="G629" s="133"/>
      <c r="H629" s="132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</row>
    <row r="630" ht="15.75" customHeight="1">
      <c r="A630" s="132"/>
      <c r="B630" s="132"/>
      <c r="C630" s="132"/>
      <c r="D630" s="132"/>
      <c r="E630" s="132"/>
      <c r="F630" s="133"/>
      <c r="G630" s="133"/>
      <c r="H630" s="132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</row>
    <row r="631" ht="15.75" customHeight="1">
      <c r="A631" s="132"/>
      <c r="B631" s="132"/>
      <c r="C631" s="132"/>
      <c r="D631" s="132"/>
      <c r="E631" s="132"/>
      <c r="F631" s="133"/>
      <c r="G631" s="133"/>
      <c r="H631" s="132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</row>
    <row r="632" ht="15.75" customHeight="1">
      <c r="A632" s="132"/>
      <c r="B632" s="132"/>
      <c r="C632" s="132"/>
      <c r="D632" s="132"/>
      <c r="E632" s="132"/>
      <c r="F632" s="133"/>
      <c r="G632" s="133"/>
      <c r="H632" s="132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</row>
    <row r="633" ht="15.75" customHeight="1">
      <c r="A633" s="132"/>
      <c r="B633" s="132"/>
      <c r="C633" s="132"/>
      <c r="D633" s="132"/>
      <c r="E633" s="132"/>
      <c r="F633" s="133"/>
      <c r="G633" s="133"/>
      <c r="H633" s="132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</row>
    <row r="634" ht="15.75" customHeight="1">
      <c r="A634" s="132"/>
      <c r="B634" s="132"/>
      <c r="C634" s="132"/>
      <c r="D634" s="132"/>
      <c r="E634" s="132"/>
      <c r="F634" s="133"/>
      <c r="G634" s="133"/>
      <c r="H634" s="132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</row>
    <row r="635" ht="15.75" customHeight="1">
      <c r="A635" s="132"/>
      <c r="B635" s="132"/>
      <c r="C635" s="132"/>
      <c r="D635" s="132"/>
      <c r="E635" s="132"/>
      <c r="F635" s="133"/>
      <c r="G635" s="133"/>
      <c r="H635" s="132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</row>
    <row r="636" ht="15.75" customHeight="1">
      <c r="A636" s="132"/>
      <c r="B636" s="132"/>
      <c r="C636" s="132"/>
      <c r="D636" s="132"/>
      <c r="E636" s="132"/>
      <c r="F636" s="133"/>
      <c r="G636" s="133"/>
      <c r="H636" s="132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</row>
    <row r="637" ht="15.75" customHeight="1">
      <c r="A637" s="132"/>
      <c r="B637" s="132"/>
      <c r="C637" s="132"/>
      <c r="D637" s="132"/>
      <c r="E637" s="132"/>
      <c r="F637" s="133"/>
      <c r="G637" s="133"/>
      <c r="H637" s="132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</row>
    <row r="638" ht="15.75" customHeight="1">
      <c r="A638" s="132"/>
      <c r="B638" s="132"/>
      <c r="C638" s="132"/>
      <c r="D638" s="132"/>
      <c r="E638" s="132"/>
      <c r="F638" s="133"/>
      <c r="G638" s="133"/>
      <c r="H638" s="132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</row>
    <row r="639" ht="15.75" customHeight="1">
      <c r="A639" s="132"/>
      <c r="B639" s="132"/>
      <c r="C639" s="132"/>
      <c r="D639" s="132"/>
      <c r="E639" s="132"/>
      <c r="F639" s="133"/>
      <c r="G639" s="133"/>
      <c r="H639" s="132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</row>
    <row r="640" ht="15.75" customHeight="1">
      <c r="A640" s="132"/>
      <c r="B640" s="132"/>
      <c r="C640" s="132"/>
      <c r="D640" s="132"/>
      <c r="E640" s="132"/>
      <c r="F640" s="133"/>
      <c r="G640" s="133"/>
      <c r="H640" s="132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</row>
    <row r="641" ht="15.75" customHeight="1">
      <c r="A641" s="132"/>
      <c r="B641" s="132"/>
      <c r="C641" s="132"/>
      <c r="D641" s="132"/>
      <c r="E641" s="132"/>
      <c r="F641" s="133"/>
      <c r="G641" s="133"/>
      <c r="H641" s="132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</row>
    <row r="642" ht="15.75" customHeight="1">
      <c r="A642" s="132"/>
      <c r="B642" s="132"/>
      <c r="C642" s="132"/>
      <c r="D642" s="132"/>
      <c r="E642" s="132"/>
      <c r="F642" s="133"/>
      <c r="G642" s="133"/>
      <c r="H642" s="132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</row>
    <row r="643" ht="15.75" customHeight="1">
      <c r="A643" s="132"/>
      <c r="B643" s="132"/>
      <c r="C643" s="132"/>
      <c r="D643" s="132"/>
      <c r="E643" s="132"/>
      <c r="F643" s="133"/>
      <c r="G643" s="133"/>
      <c r="H643" s="132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</row>
    <row r="644" ht="15.75" customHeight="1">
      <c r="A644" s="132"/>
      <c r="B644" s="132"/>
      <c r="C644" s="132"/>
      <c r="D644" s="132"/>
      <c r="E644" s="132"/>
      <c r="F644" s="133"/>
      <c r="G644" s="133"/>
      <c r="H644" s="132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</row>
    <row r="645" ht="15.75" customHeight="1">
      <c r="A645" s="132"/>
      <c r="B645" s="132"/>
      <c r="C645" s="132"/>
      <c r="D645" s="132"/>
      <c r="E645" s="132"/>
      <c r="F645" s="133"/>
      <c r="G645" s="133"/>
      <c r="H645" s="132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</row>
    <row r="646" ht="15.75" customHeight="1">
      <c r="A646" s="132"/>
      <c r="B646" s="132"/>
      <c r="C646" s="132"/>
      <c r="D646" s="132"/>
      <c r="E646" s="132"/>
      <c r="F646" s="133"/>
      <c r="G646" s="133"/>
      <c r="H646" s="132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</row>
    <row r="647" ht="15.75" customHeight="1">
      <c r="A647" s="132"/>
      <c r="B647" s="132"/>
      <c r="C647" s="132"/>
      <c r="D647" s="132"/>
      <c r="E647" s="132"/>
      <c r="F647" s="133"/>
      <c r="G647" s="133"/>
      <c r="H647" s="132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</row>
    <row r="648" ht="15.75" customHeight="1">
      <c r="A648" s="132"/>
      <c r="B648" s="132"/>
      <c r="C648" s="132"/>
      <c r="D648" s="132"/>
      <c r="E648" s="132"/>
      <c r="F648" s="133"/>
      <c r="G648" s="133"/>
      <c r="H648" s="132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</row>
    <row r="649" ht="15.75" customHeight="1">
      <c r="A649" s="132"/>
      <c r="B649" s="132"/>
      <c r="C649" s="132"/>
      <c r="D649" s="132"/>
      <c r="E649" s="132"/>
      <c r="F649" s="133"/>
      <c r="G649" s="133"/>
      <c r="H649" s="132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</row>
    <row r="650" ht="15.75" customHeight="1">
      <c r="A650" s="132"/>
      <c r="B650" s="132"/>
      <c r="C650" s="132"/>
      <c r="D650" s="132"/>
      <c r="E650" s="132"/>
      <c r="F650" s="133"/>
      <c r="G650" s="133"/>
      <c r="H650" s="132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</row>
    <row r="651" ht="15.75" customHeight="1">
      <c r="A651" s="132"/>
      <c r="B651" s="132"/>
      <c r="C651" s="132"/>
      <c r="D651" s="132"/>
      <c r="E651" s="132"/>
      <c r="F651" s="133"/>
      <c r="G651" s="133"/>
      <c r="H651" s="132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</row>
    <row r="652" ht="15.75" customHeight="1">
      <c r="A652" s="132"/>
      <c r="B652" s="132"/>
      <c r="C652" s="132"/>
      <c r="D652" s="132"/>
      <c r="E652" s="132"/>
      <c r="F652" s="133"/>
      <c r="G652" s="133"/>
      <c r="H652" s="132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</row>
    <row r="653" ht="15.75" customHeight="1">
      <c r="A653" s="132"/>
      <c r="B653" s="132"/>
      <c r="C653" s="132"/>
      <c r="D653" s="132"/>
      <c r="E653" s="132"/>
      <c r="F653" s="133"/>
      <c r="G653" s="133"/>
      <c r="H653" s="132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</row>
    <row r="654" ht="15.75" customHeight="1">
      <c r="A654" s="132"/>
      <c r="B654" s="132"/>
      <c r="C654" s="132"/>
      <c r="D654" s="132"/>
      <c r="E654" s="132"/>
      <c r="F654" s="133"/>
      <c r="G654" s="133"/>
      <c r="H654" s="132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</row>
    <row r="655" ht="15.75" customHeight="1">
      <c r="A655" s="132"/>
      <c r="B655" s="132"/>
      <c r="C655" s="132"/>
      <c r="D655" s="132"/>
      <c r="E655" s="132"/>
      <c r="F655" s="133"/>
      <c r="G655" s="133"/>
      <c r="H655" s="132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</row>
    <row r="656" ht="15.75" customHeight="1">
      <c r="A656" s="132"/>
      <c r="B656" s="132"/>
      <c r="C656" s="132"/>
      <c r="D656" s="132"/>
      <c r="E656" s="132"/>
      <c r="F656" s="133"/>
      <c r="G656" s="133"/>
      <c r="H656" s="132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</row>
    <row r="657" ht="15.75" customHeight="1">
      <c r="A657" s="132"/>
      <c r="B657" s="132"/>
      <c r="C657" s="132"/>
      <c r="D657" s="132"/>
      <c r="E657" s="132"/>
      <c r="F657" s="133"/>
      <c r="G657" s="133"/>
      <c r="H657" s="132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</row>
    <row r="658" ht="15.75" customHeight="1">
      <c r="A658" s="132"/>
      <c r="B658" s="132"/>
      <c r="C658" s="132"/>
      <c r="D658" s="132"/>
      <c r="E658" s="132"/>
      <c r="F658" s="133"/>
      <c r="G658" s="133"/>
      <c r="H658" s="132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</row>
    <row r="659" ht="15.75" customHeight="1">
      <c r="A659" s="132"/>
      <c r="B659" s="132"/>
      <c r="C659" s="132"/>
      <c r="D659" s="132"/>
      <c r="E659" s="132"/>
      <c r="F659" s="133"/>
      <c r="G659" s="133"/>
      <c r="H659" s="132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</row>
    <row r="660" ht="15.75" customHeight="1">
      <c r="A660" s="132"/>
      <c r="B660" s="132"/>
      <c r="C660" s="132"/>
      <c r="D660" s="132"/>
      <c r="E660" s="132"/>
      <c r="F660" s="133"/>
      <c r="G660" s="133"/>
      <c r="H660" s="132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</row>
    <row r="661" ht="15.75" customHeight="1">
      <c r="A661" s="132"/>
      <c r="B661" s="132"/>
      <c r="C661" s="132"/>
      <c r="D661" s="132"/>
      <c r="E661" s="132"/>
      <c r="F661" s="133"/>
      <c r="G661" s="133"/>
      <c r="H661" s="132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</row>
    <row r="662" ht="15.75" customHeight="1">
      <c r="A662" s="132"/>
      <c r="B662" s="132"/>
      <c r="C662" s="132"/>
      <c r="D662" s="132"/>
      <c r="E662" s="132"/>
      <c r="F662" s="133"/>
      <c r="G662" s="133"/>
      <c r="H662" s="132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</row>
    <row r="663" ht="15.75" customHeight="1">
      <c r="A663" s="132"/>
      <c r="B663" s="132"/>
      <c r="C663" s="132"/>
      <c r="D663" s="132"/>
      <c r="E663" s="132"/>
      <c r="F663" s="133"/>
      <c r="G663" s="133"/>
      <c r="H663" s="132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</row>
    <row r="664" ht="15.75" customHeight="1">
      <c r="A664" s="132"/>
      <c r="B664" s="132"/>
      <c r="C664" s="132"/>
      <c r="D664" s="132"/>
      <c r="E664" s="132"/>
      <c r="F664" s="133"/>
      <c r="G664" s="133"/>
      <c r="H664" s="132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</row>
    <row r="665" ht="15.75" customHeight="1">
      <c r="A665" s="132"/>
      <c r="B665" s="132"/>
      <c r="C665" s="132"/>
      <c r="D665" s="132"/>
      <c r="E665" s="132"/>
      <c r="F665" s="133"/>
      <c r="G665" s="133"/>
      <c r="H665" s="132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</row>
    <row r="666" ht="15.75" customHeight="1">
      <c r="A666" s="132"/>
      <c r="B666" s="132"/>
      <c r="C666" s="132"/>
      <c r="D666" s="132"/>
      <c r="E666" s="132"/>
      <c r="F666" s="133"/>
      <c r="G666" s="133"/>
      <c r="H666" s="132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</row>
    <row r="667" ht="15.75" customHeight="1">
      <c r="A667" s="132"/>
      <c r="B667" s="132"/>
      <c r="C667" s="132"/>
      <c r="D667" s="132"/>
      <c r="E667" s="132"/>
      <c r="F667" s="133"/>
      <c r="G667" s="133"/>
      <c r="H667" s="132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</row>
    <row r="668" ht="15.75" customHeight="1">
      <c r="A668" s="132"/>
      <c r="B668" s="132"/>
      <c r="C668" s="132"/>
      <c r="D668" s="132"/>
      <c r="E668" s="132"/>
      <c r="F668" s="133"/>
      <c r="G668" s="133"/>
      <c r="H668" s="132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</row>
    <row r="669" ht="15.75" customHeight="1">
      <c r="A669" s="132"/>
      <c r="B669" s="132"/>
      <c r="C669" s="132"/>
      <c r="D669" s="132"/>
      <c r="E669" s="132"/>
      <c r="F669" s="133"/>
      <c r="G669" s="133"/>
      <c r="H669" s="132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</row>
    <row r="670" ht="15.75" customHeight="1">
      <c r="A670" s="132"/>
      <c r="B670" s="132"/>
      <c r="C670" s="132"/>
      <c r="D670" s="132"/>
      <c r="E670" s="132"/>
      <c r="F670" s="133"/>
      <c r="G670" s="133"/>
      <c r="H670" s="132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</row>
    <row r="671" ht="15.75" customHeight="1">
      <c r="A671" s="132"/>
      <c r="B671" s="132"/>
      <c r="C671" s="132"/>
      <c r="D671" s="132"/>
      <c r="E671" s="132"/>
      <c r="F671" s="133"/>
      <c r="G671" s="133"/>
      <c r="H671" s="132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</row>
    <row r="672" ht="15.75" customHeight="1">
      <c r="A672" s="132"/>
      <c r="B672" s="132"/>
      <c r="C672" s="132"/>
      <c r="D672" s="132"/>
      <c r="E672" s="132"/>
      <c r="F672" s="133"/>
      <c r="G672" s="133"/>
      <c r="H672" s="132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</row>
    <row r="673" ht="15.75" customHeight="1">
      <c r="A673" s="132"/>
      <c r="B673" s="132"/>
      <c r="C673" s="132"/>
      <c r="D673" s="132"/>
      <c r="E673" s="132"/>
      <c r="F673" s="133"/>
      <c r="G673" s="133"/>
      <c r="H673" s="132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</row>
    <row r="674" ht="15.75" customHeight="1">
      <c r="A674" s="132"/>
      <c r="B674" s="132"/>
      <c r="C674" s="132"/>
      <c r="D674" s="132"/>
      <c r="E674" s="132"/>
      <c r="F674" s="133"/>
      <c r="G674" s="133"/>
      <c r="H674" s="132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</row>
    <row r="675" ht="15.75" customHeight="1">
      <c r="A675" s="132"/>
      <c r="B675" s="132"/>
      <c r="C675" s="132"/>
      <c r="D675" s="132"/>
      <c r="E675" s="132"/>
      <c r="F675" s="133"/>
      <c r="G675" s="133"/>
      <c r="H675" s="132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</row>
    <row r="676" ht="15.75" customHeight="1">
      <c r="A676" s="132"/>
      <c r="B676" s="132"/>
      <c r="C676" s="132"/>
      <c r="D676" s="132"/>
      <c r="E676" s="132"/>
      <c r="F676" s="133"/>
      <c r="G676" s="133"/>
      <c r="H676" s="132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</row>
    <row r="677" ht="15.75" customHeight="1">
      <c r="A677" s="132"/>
      <c r="B677" s="132"/>
      <c r="C677" s="132"/>
      <c r="D677" s="132"/>
      <c r="E677" s="132"/>
      <c r="F677" s="133"/>
      <c r="G677" s="133"/>
      <c r="H677" s="132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</row>
    <row r="678" ht="15.75" customHeight="1">
      <c r="A678" s="132"/>
      <c r="B678" s="132"/>
      <c r="C678" s="132"/>
      <c r="D678" s="132"/>
      <c r="E678" s="132"/>
      <c r="F678" s="133"/>
      <c r="G678" s="133"/>
      <c r="H678" s="132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</row>
    <row r="679" ht="15.75" customHeight="1">
      <c r="A679" s="132"/>
      <c r="B679" s="132"/>
      <c r="C679" s="132"/>
      <c r="D679" s="132"/>
      <c r="E679" s="132"/>
      <c r="F679" s="133"/>
      <c r="G679" s="133"/>
      <c r="H679" s="132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</row>
    <row r="680" ht="15.75" customHeight="1">
      <c r="A680" s="132"/>
      <c r="B680" s="132"/>
      <c r="C680" s="132"/>
      <c r="D680" s="132"/>
      <c r="E680" s="132"/>
      <c r="F680" s="133"/>
      <c r="G680" s="133"/>
      <c r="H680" s="132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</row>
    <row r="681" ht="15.75" customHeight="1">
      <c r="A681" s="132"/>
      <c r="B681" s="132"/>
      <c r="C681" s="132"/>
      <c r="D681" s="132"/>
      <c r="E681" s="132"/>
      <c r="F681" s="133"/>
      <c r="G681" s="133"/>
      <c r="H681" s="132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</row>
    <row r="682" ht="15.75" customHeight="1">
      <c r="A682" s="132"/>
      <c r="B682" s="132"/>
      <c r="C682" s="132"/>
      <c r="D682" s="132"/>
      <c r="E682" s="132"/>
      <c r="F682" s="133"/>
      <c r="G682" s="133"/>
      <c r="H682" s="132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</row>
    <row r="683" ht="15.75" customHeight="1">
      <c r="A683" s="132"/>
      <c r="B683" s="132"/>
      <c r="C683" s="132"/>
      <c r="D683" s="132"/>
      <c r="E683" s="132"/>
      <c r="F683" s="133"/>
      <c r="G683" s="133"/>
      <c r="H683" s="132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</row>
    <row r="684" ht="15.75" customHeight="1">
      <c r="A684" s="132"/>
      <c r="B684" s="132"/>
      <c r="C684" s="132"/>
      <c r="D684" s="132"/>
      <c r="E684" s="132"/>
      <c r="F684" s="133"/>
      <c r="G684" s="133"/>
      <c r="H684" s="132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</row>
    <row r="685" ht="15.75" customHeight="1">
      <c r="A685" s="132"/>
      <c r="B685" s="132"/>
      <c r="C685" s="132"/>
      <c r="D685" s="132"/>
      <c r="E685" s="132"/>
      <c r="F685" s="133"/>
      <c r="G685" s="133"/>
      <c r="H685" s="132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</row>
    <row r="686" ht="15.75" customHeight="1">
      <c r="A686" s="132"/>
      <c r="B686" s="132"/>
      <c r="C686" s="132"/>
      <c r="D686" s="132"/>
      <c r="E686" s="132"/>
      <c r="F686" s="133"/>
      <c r="G686" s="133"/>
      <c r="H686" s="132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</row>
    <row r="687" ht="15.75" customHeight="1">
      <c r="A687" s="132"/>
      <c r="B687" s="132"/>
      <c r="C687" s="132"/>
      <c r="D687" s="132"/>
      <c r="E687" s="132"/>
      <c r="F687" s="133"/>
      <c r="G687" s="133"/>
      <c r="H687" s="132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</row>
    <row r="688" ht="15.75" customHeight="1">
      <c r="A688" s="132"/>
      <c r="B688" s="132"/>
      <c r="C688" s="132"/>
      <c r="D688" s="132"/>
      <c r="E688" s="132"/>
      <c r="F688" s="133"/>
      <c r="G688" s="133"/>
      <c r="H688" s="132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</row>
    <row r="689" ht="15.75" customHeight="1">
      <c r="A689" s="132"/>
      <c r="B689" s="132"/>
      <c r="C689" s="132"/>
      <c r="D689" s="132"/>
      <c r="E689" s="132"/>
      <c r="F689" s="133"/>
      <c r="G689" s="133"/>
      <c r="H689" s="132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</row>
    <row r="690" ht="15.75" customHeight="1">
      <c r="A690" s="132"/>
      <c r="B690" s="132"/>
      <c r="C690" s="132"/>
      <c r="D690" s="132"/>
      <c r="E690" s="132"/>
      <c r="F690" s="133"/>
      <c r="G690" s="133"/>
      <c r="H690" s="132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</row>
    <row r="691" ht="15.75" customHeight="1">
      <c r="A691" s="132"/>
      <c r="B691" s="132"/>
      <c r="C691" s="132"/>
      <c r="D691" s="132"/>
      <c r="E691" s="132"/>
      <c r="F691" s="133"/>
      <c r="G691" s="133"/>
      <c r="H691" s="132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</row>
    <row r="692" ht="15.75" customHeight="1">
      <c r="A692" s="132"/>
      <c r="B692" s="132"/>
      <c r="C692" s="132"/>
      <c r="D692" s="132"/>
      <c r="E692" s="132"/>
      <c r="F692" s="133"/>
      <c r="G692" s="133"/>
      <c r="H692" s="132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</row>
    <row r="693" ht="15.75" customHeight="1">
      <c r="A693" s="132"/>
      <c r="B693" s="132"/>
      <c r="C693" s="132"/>
      <c r="D693" s="132"/>
      <c r="E693" s="132"/>
      <c r="F693" s="133"/>
      <c r="G693" s="133"/>
      <c r="H693" s="132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</row>
    <row r="694" ht="15.75" customHeight="1">
      <c r="A694" s="132"/>
      <c r="B694" s="132"/>
      <c r="C694" s="132"/>
      <c r="D694" s="132"/>
      <c r="E694" s="132"/>
      <c r="F694" s="133"/>
      <c r="G694" s="133"/>
      <c r="H694" s="132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</row>
    <row r="695" ht="15.75" customHeight="1">
      <c r="A695" s="132"/>
      <c r="B695" s="132"/>
      <c r="C695" s="132"/>
      <c r="D695" s="132"/>
      <c r="E695" s="132"/>
      <c r="F695" s="133"/>
      <c r="G695" s="133"/>
      <c r="H695" s="132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</row>
    <row r="696" ht="15.75" customHeight="1">
      <c r="A696" s="132"/>
      <c r="B696" s="132"/>
      <c r="C696" s="132"/>
      <c r="D696" s="132"/>
      <c r="E696" s="132"/>
      <c r="F696" s="133"/>
      <c r="G696" s="133"/>
      <c r="H696" s="132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</row>
    <row r="697" ht="15.75" customHeight="1">
      <c r="A697" s="132"/>
      <c r="B697" s="132"/>
      <c r="C697" s="132"/>
      <c r="D697" s="132"/>
      <c r="E697" s="132"/>
      <c r="F697" s="133"/>
      <c r="G697" s="133"/>
      <c r="H697" s="132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</row>
    <row r="698" ht="15.75" customHeight="1">
      <c r="A698" s="132"/>
      <c r="B698" s="132"/>
      <c r="C698" s="132"/>
      <c r="D698" s="132"/>
      <c r="E698" s="132"/>
      <c r="F698" s="133"/>
      <c r="G698" s="133"/>
      <c r="H698" s="132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</row>
    <row r="699" ht="15.75" customHeight="1">
      <c r="A699" s="132"/>
      <c r="B699" s="132"/>
      <c r="C699" s="132"/>
      <c r="D699" s="132"/>
      <c r="E699" s="132"/>
      <c r="F699" s="133"/>
      <c r="G699" s="133"/>
      <c r="H699" s="132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</row>
    <row r="700" ht="15.75" customHeight="1">
      <c r="A700" s="132"/>
      <c r="B700" s="132"/>
      <c r="C700" s="132"/>
      <c r="D700" s="132"/>
      <c r="E700" s="132"/>
      <c r="F700" s="133"/>
      <c r="G700" s="133"/>
      <c r="H700" s="132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</row>
    <row r="701" ht="15.75" customHeight="1">
      <c r="A701" s="132"/>
      <c r="B701" s="132"/>
      <c r="C701" s="132"/>
      <c r="D701" s="132"/>
      <c r="E701" s="132"/>
      <c r="F701" s="133"/>
      <c r="G701" s="133"/>
      <c r="H701" s="132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</row>
    <row r="702" ht="15.75" customHeight="1">
      <c r="A702" s="132"/>
      <c r="B702" s="132"/>
      <c r="C702" s="132"/>
      <c r="D702" s="132"/>
      <c r="E702" s="132"/>
      <c r="F702" s="133"/>
      <c r="G702" s="133"/>
      <c r="H702" s="132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</row>
    <row r="703" ht="15.75" customHeight="1">
      <c r="A703" s="132"/>
      <c r="B703" s="132"/>
      <c r="C703" s="132"/>
      <c r="D703" s="132"/>
      <c r="E703" s="132"/>
      <c r="F703" s="133"/>
      <c r="G703" s="133"/>
      <c r="H703" s="132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</row>
    <row r="704" ht="15.75" customHeight="1">
      <c r="A704" s="132"/>
      <c r="B704" s="132"/>
      <c r="C704" s="132"/>
      <c r="D704" s="132"/>
      <c r="E704" s="132"/>
      <c r="F704" s="133"/>
      <c r="G704" s="133"/>
      <c r="H704" s="132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</row>
    <row r="705" ht="15.75" customHeight="1">
      <c r="A705" s="132"/>
      <c r="B705" s="132"/>
      <c r="C705" s="132"/>
      <c r="D705" s="132"/>
      <c r="E705" s="132"/>
      <c r="F705" s="133"/>
      <c r="G705" s="133"/>
      <c r="H705" s="132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</row>
    <row r="706" ht="15.75" customHeight="1">
      <c r="A706" s="132"/>
      <c r="B706" s="132"/>
      <c r="C706" s="132"/>
      <c r="D706" s="132"/>
      <c r="E706" s="132"/>
      <c r="F706" s="133"/>
      <c r="G706" s="133"/>
      <c r="H706" s="132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</row>
    <row r="707" ht="15.75" customHeight="1">
      <c r="A707" s="132"/>
      <c r="B707" s="132"/>
      <c r="C707" s="132"/>
      <c r="D707" s="132"/>
      <c r="E707" s="132"/>
      <c r="F707" s="133"/>
      <c r="G707" s="133"/>
      <c r="H707" s="132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</row>
    <row r="708" ht="15.75" customHeight="1">
      <c r="A708" s="132"/>
      <c r="B708" s="132"/>
      <c r="C708" s="132"/>
      <c r="D708" s="132"/>
      <c r="E708" s="132"/>
      <c r="F708" s="133"/>
      <c r="G708" s="133"/>
      <c r="H708" s="132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</row>
    <row r="709" ht="15.75" customHeight="1">
      <c r="A709" s="132"/>
      <c r="B709" s="132"/>
      <c r="C709" s="132"/>
      <c r="D709" s="132"/>
      <c r="E709" s="132"/>
      <c r="F709" s="133"/>
      <c r="G709" s="133"/>
      <c r="H709" s="132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</row>
    <row r="710" ht="15.75" customHeight="1">
      <c r="A710" s="132"/>
      <c r="B710" s="132"/>
      <c r="C710" s="132"/>
      <c r="D710" s="132"/>
      <c r="E710" s="132"/>
      <c r="F710" s="133"/>
      <c r="G710" s="133"/>
      <c r="H710" s="132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</row>
    <row r="711" ht="15.75" customHeight="1">
      <c r="A711" s="132"/>
      <c r="B711" s="132"/>
      <c r="C711" s="132"/>
      <c r="D711" s="132"/>
      <c r="E711" s="132"/>
      <c r="F711" s="133"/>
      <c r="G711" s="133"/>
      <c r="H711" s="132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</row>
    <row r="712" ht="15.75" customHeight="1">
      <c r="A712" s="132"/>
      <c r="B712" s="132"/>
      <c r="C712" s="132"/>
      <c r="D712" s="132"/>
      <c r="E712" s="132"/>
      <c r="F712" s="133"/>
      <c r="G712" s="133"/>
      <c r="H712" s="132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</row>
    <row r="713" ht="15.75" customHeight="1">
      <c r="A713" s="132"/>
      <c r="B713" s="132"/>
      <c r="C713" s="132"/>
      <c r="D713" s="132"/>
      <c r="E713" s="132"/>
      <c r="F713" s="133"/>
      <c r="G713" s="133"/>
      <c r="H713" s="132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</row>
    <row r="714" ht="15.75" customHeight="1">
      <c r="A714" s="132"/>
      <c r="B714" s="132"/>
      <c r="C714" s="132"/>
      <c r="D714" s="132"/>
      <c r="E714" s="132"/>
      <c r="F714" s="133"/>
      <c r="G714" s="133"/>
      <c r="H714" s="132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</row>
    <row r="715" ht="15.75" customHeight="1">
      <c r="A715" s="132"/>
      <c r="B715" s="132"/>
      <c r="C715" s="132"/>
      <c r="D715" s="132"/>
      <c r="E715" s="132"/>
      <c r="F715" s="133"/>
      <c r="G715" s="133"/>
      <c r="H715" s="132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</row>
    <row r="716" ht="15.75" customHeight="1">
      <c r="A716" s="132"/>
      <c r="B716" s="132"/>
      <c r="C716" s="132"/>
      <c r="D716" s="132"/>
      <c r="E716" s="132"/>
      <c r="F716" s="133"/>
      <c r="G716" s="133"/>
      <c r="H716" s="132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</row>
    <row r="717" ht="15.75" customHeight="1">
      <c r="A717" s="132"/>
      <c r="B717" s="132"/>
      <c r="C717" s="132"/>
      <c r="D717" s="132"/>
      <c r="E717" s="132"/>
      <c r="F717" s="133"/>
      <c r="G717" s="133"/>
      <c r="H717" s="132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</row>
    <row r="718" ht="15.75" customHeight="1">
      <c r="A718" s="132"/>
      <c r="B718" s="132"/>
      <c r="C718" s="132"/>
      <c r="D718" s="132"/>
      <c r="E718" s="132"/>
      <c r="F718" s="133"/>
      <c r="G718" s="133"/>
      <c r="H718" s="132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</row>
    <row r="719" ht="15.75" customHeight="1">
      <c r="A719" s="132"/>
      <c r="B719" s="132"/>
      <c r="C719" s="132"/>
      <c r="D719" s="132"/>
      <c r="E719" s="132"/>
      <c r="F719" s="133"/>
      <c r="G719" s="133"/>
      <c r="H719" s="132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</row>
    <row r="720" ht="15.75" customHeight="1">
      <c r="A720" s="132"/>
      <c r="B720" s="132"/>
      <c r="C720" s="132"/>
      <c r="D720" s="132"/>
      <c r="E720" s="132"/>
      <c r="F720" s="133"/>
      <c r="G720" s="133"/>
      <c r="H720" s="132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</row>
    <row r="721" ht="15.75" customHeight="1">
      <c r="A721" s="132"/>
      <c r="B721" s="132"/>
      <c r="C721" s="132"/>
      <c r="D721" s="132"/>
      <c r="E721" s="132"/>
      <c r="F721" s="133"/>
      <c r="G721" s="133"/>
      <c r="H721" s="132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</row>
    <row r="722" ht="15.75" customHeight="1">
      <c r="A722" s="132"/>
      <c r="B722" s="132"/>
      <c r="C722" s="132"/>
      <c r="D722" s="132"/>
      <c r="E722" s="132"/>
      <c r="F722" s="133"/>
      <c r="G722" s="133"/>
      <c r="H722" s="132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</row>
    <row r="723" ht="15.75" customHeight="1">
      <c r="A723" s="132"/>
      <c r="B723" s="132"/>
      <c r="C723" s="132"/>
      <c r="D723" s="132"/>
      <c r="E723" s="132"/>
      <c r="F723" s="133"/>
      <c r="G723" s="133"/>
      <c r="H723" s="132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</row>
    <row r="724" ht="15.75" customHeight="1">
      <c r="A724" s="132"/>
      <c r="B724" s="132"/>
      <c r="C724" s="132"/>
      <c r="D724" s="132"/>
      <c r="E724" s="132"/>
      <c r="F724" s="133"/>
      <c r="G724" s="133"/>
      <c r="H724" s="132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</row>
    <row r="725" ht="15.75" customHeight="1">
      <c r="A725" s="132"/>
      <c r="B725" s="132"/>
      <c r="C725" s="132"/>
      <c r="D725" s="132"/>
      <c r="E725" s="132"/>
      <c r="F725" s="133"/>
      <c r="G725" s="133"/>
      <c r="H725" s="132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</row>
    <row r="726" ht="15.75" customHeight="1">
      <c r="A726" s="132"/>
      <c r="B726" s="132"/>
      <c r="C726" s="132"/>
      <c r="D726" s="132"/>
      <c r="E726" s="132"/>
      <c r="F726" s="133"/>
      <c r="G726" s="133"/>
      <c r="H726" s="132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</row>
    <row r="727" ht="15.75" customHeight="1">
      <c r="A727" s="132"/>
      <c r="B727" s="132"/>
      <c r="C727" s="132"/>
      <c r="D727" s="132"/>
      <c r="E727" s="132"/>
      <c r="F727" s="133"/>
      <c r="G727" s="133"/>
      <c r="H727" s="132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</row>
    <row r="728" ht="15.75" customHeight="1">
      <c r="A728" s="132"/>
      <c r="B728" s="132"/>
      <c r="C728" s="132"/>
      <c r="D728" s="132"/>
      <c r="E728" s="132"/>
      <c r="F728" s="133"/>
      <c r="G728" s="133"/>
      <c r="H728" s="132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</row>
    <row r="729" ht="15.75" customHeight="1">
      <c r="A729" s="132"/>
      <c r="B729" s="132"/>
      <c r="C729" s="132"/>
      <c r="D729" s="132"/>
      <c r="E729" s="132"/>
      <c r="F729" s="133"/>
      <c r="G729" s="133"/>
      <c r="H729" s="132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</row>
    <row r="730" ht="15.75" customHeight="1">
      <c r="A730" s="132"/>
      <c r="B730" s="132"/>
      <c r="C730" s="132"/>
      <c r="D730" s="132"/>
      <c r="E730" s="132"/>
      <c r="F730" s="133"/>
      <c r="G730" s="133"/>
      <c r="H730" s="132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</row>
    <row r="731" ht="15.75" customHeight="1">
      <c r="A731" s="132"/>
      <c r="B731" s="132"/>
      <c r="C731" s="132"/>
      <c r="D731" s="132"/>
      <c r="E731" s="132"/>
      <c r="F731" s="133"/>
      <c r="G731" s="133"/>
      <c r="H731" s="132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</row>
    <row r="732" ht="15.75" customHeight="1">
      <c r="A732" s="132"/>
      <c r="B732" s="132"/>
      <c r="C732" s="132"/>
      <c r="D732" s="132"/>
      <c r="E732" s="132"/>
      <c r="F732" s="133"/>
      <c r="G732" s="133"/>
      <c r="H732" s="132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</row>
    <row r="733" ht="15.75" customHeight="1">
      <c r="A733" s="132"/>
      <c r="B733" s="132"/>
      <c r="C733" s="132"/>
      <c r="D733" s="132"/>
      <c r="E733" s="132"/>
      <c r="F733" s="133"/>
      <c r="G733" s="133"/>
      <c r="H733" s="132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</row>
    <row r="734" ht="15.75" customHeight="1">
      <c r="A734" s="132"/>
      <c r="B734" s="132"/>
      <c r="C734" s="132"/>
      <c r="D734" s="132"/>
      <c r="E734" s="132"/>
      <c r="F734" s="133"/>
      <c r="G734" s="133"/>
      <c r="H734" s="132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</row>
    <row r="735" ht="15.75" customHeight="1">
      <c r="A735" s="132"/>
      <c r="B735" s="132"/>
      <c r="C735" s="132"/>
      <c r="D735" s="132"/>
      <c r="E735" s="132"/>
      <c r="F735" s="133"/>
      <c r="G735" s="133"/>
      <c r="H735" s="132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</row>
    <row r="736" ht="15.75" customHeight="1">
      <c r="A736" s="132"/>
      <c r="B736" s="132"/>
      <c r="C736" s="132"/>
      <c r="D736" s="132"/>
      <c r="E736" s="132"/>
      <c r="F736" s="133"/>
      <c r="G736" s="133"/>
      <c r="H736" s="132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</row>
    <row r="737" ht="15.75" customHeight="1">
      <c r="A737" s="132"/>
      <c r="B737" s="132"/>
      <c r="C737" s="132"/>
      <c r="D737" s="132"/>
      <c r="E737" s="132"/>
      <c r="F737" s="133"/>
      <c r="G737" s="133"/>
      <c r="H737" s="132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</row>
    <row r="738" ht="15.75" customHeight="1">
      <c r="A738" s="132"/>
      <c r="B738" s="132"/>
      <c r="C738" s="132"/>
      <c r="D738" s="132"/>
      <c r="E738" s="132"/>
      <c r="F738" s="133"/>
      <c r="G738" s="133"/>
      <c r="H738" s="132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</row>
    <row r="739" ht="15.75" customHeight="1">
      <c r="A739" s="132"/>
      <c r="B739" s="132"/>
      <c r="C739" s="132"/>
      <c r="D739" s="132"/>
      <c r="E739" s="132"/>
      <c r="F739" s="133"/>
      <c r="G739" s="133"/>
      <c r="H739" s="132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</row>
    <row r="740" ht="15.75" customHeight="1">
      <c r="A740" s="132"/>
      <c r="B740" s="132"/>
      <c r="C740" s="132"/>
      <c r="D740" s="132"/>
      <c r="E740" s="132"/>
      <c r="F740" s="133"/>
      <c r="G740" s="133"/>
      <c r="H740" s="132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</row>
    <row r="741" ht="15.75" customHeight="1">
      <c r="A741" s="132"/>
      <c r="B741" s="132"/>
      <c r="C741" s="132"/>
      <c r="D741" s="132"/>
      <c r="E741" s="132"/>
      <c r="F741" s="133"/>
      <c r="G741" s="133"/>
      <c r="H741" s="132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</row>
    <row r="742" ht="15.75" customHeight="1">
      <c r="A742" s="132"/>
      <c r="B742" s="132"/>
      <c r="C742" s="132"/>
      <c r="D742" s="132"/>
      <c r="E742" s="132"/>
      <c r="F742" s="133"/>
      <c r="G742" s="133"/>
      <c r="H742" s="132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</row>
    <row r="743" ht="15.75" customHeight="1">
      <c r="A743" s="132"/>
      <c r="B743" s="132"/>
      <c r="C743" s="132"/>
      <c r="D743" s="132"/>
      <c r="E743" s="132"/>
      <c r="F743" s="133"/>
      <c r="G743" s="133"/>
      <c r="H743" s="132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</row>
    <row r="744" ht="15.75" customHeight="1">
      <c r="A744" s="132"/>
      <c r="B744" s="132"/>
      <c r="C744" s="132"/>
      <c r="D744" s="132"/>
      <c r="E744" s="132"/>
      <c r="F744" s="133"/>
      <c r="G744" s="133"/>
      <c r="H744" s="132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</row>
    <row r="745" ht="15.75" customHeight="1">
      <c r="A745" s="132"/>
      <c r="B745" s="132"/>
      <c r="C745" s="132"/>
      <c r="D745" s="132"/>
      <c r="E745" s="132"/>
      <c r="F745" s="133"/>
      <c r="G745" s="133"/>
      <c r="H745" s="132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</row>
    <row r="746" ht="15.75" customHeight="1">
      <c r="A746" s="132"/>
      <c r="B746" s="132"/>
      <c r="C746" s="132"/>
      <c r="D746" s="132"/>
      <c r="E746" s="132"/>
      <c r="F746" s="133"/>
      <c r="G746" s="133"/>
      <c r="H746" s="132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</row>
    <row r="747" ht="15.75" customHeight="1">
      <c r="A747" s="132"/>
      <c r="B747" s="132"/>
      <c r="C747" s="132"/>
      <c r="D747" s="132"/>
      <c r="E747" s="132"/>
      <c r="F747" s="133"/>
      <c r="G747" s="133"/>
      <c r="H747" s="132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</row>
    <row r="748" ht="15.75" customHeight="1">
      <c r="A748" s="132"/>
      <c r="B748" s="132"/>
      <c r="C748" s="132"/>
      <c r="D748" s="132"/>
      <c r="E748" s="132"/>
      <c r="F748" s="133"/>
      <c r="G748" s="133"/>
      <c r="H748" s="132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</row>
    <row r="749" ht="15.75" customHeight="1">
      <c r="A749" s="132"/>
      <c r="B749" s="132"/>
      <c r="C749" s="132"/>
      <c r="D749" s="132"/>
      <c r="E749" s="132"/>
      <c r="F749" s="133"/>
      <c r="G749" s="133"/>
      <c r="H749" s="132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</row>
    <row r="750" ht="15.75" customHeight="1">
      <c r="A750" s="132"/>
      <c r="B750" s="132"/>
      <c r="C750" s="132"/>
      <c r="D750" s="132"/>
      <c r="E750" s="132"/>
      <c r="F750" s="133"/>
      <c r="G750" s="133"/>
      <c r="H750" s="132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</row>
    <row r="751" ht="15.75" customHeight="1">
      <c r="A751" s="132"/>
      <c r="B751" s="132"/>
      <c r="C751" s="132"/>
      <c r="D751" s="132"/>
      <c r="E751" s="132"/>
      <c r="F751" s="133"/>
      <c r="G751" s="133"/>
      <c r="H751" s="132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</row>
    <row r="752" ht="15.75" customHeight="1">
      <c r="A752" s="132"/>
      <c r="B752" s="132"/>
      <c r="C752" s="132"/>
      <c r="D752" s="132"/>
      <c r="E752" s="132"/>
      <c r="F752" s="133"/>
      <c r="G752" s="133"/>
      <c r="H752" s="132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</row>
    <row r="753" ht="15.75" customHeight="1">
      <c r="A753" s="132"/>
      <c r="B753" s="132"/>
      <c r="C753" s="132"/>
      <c r="D753" s="132"/>
      <c r="E753" s="132"/>
      <c r="F753" s="133"/>
      <c r="G753" s="133"/>
      <c r="H753" s="132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</row>
    <row r="754" ht="15.75" customHeight="1">
      <c r="A754" s="132"/>
      <c r="B754" s="132"/>
      <c r="C754" s="132"/>
      <c r="D754" s="132"/>
      <c r="E754" s="132"/>
      <c r="F754" s="133"/>
      <c r="G754" s="133"/>
      <c r="H754" s="132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</row>
    <row r="755" ht="15.75" customHeight="1">
      <c r="A755" s="132"/>
      <c r="B755" s="132"/>
      <c r="C755" s="132"/>
      <c r="D755" s="132"/>
      <c r="E755" s="132"/>
      <c r="F755" s="133"/>
      <c r="G755" s="133"/>
      <c r="H755" s="132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</row>
    <row r="756" ht="15.75" customHeight="1">
      <c r="A756" s="132"/>
      <c r="B756" s="132"/>
      <c r="C756" s="132"/>
      <c r="D756" s="132"/>
      <c r="E756" s="132"/>
      <c r="F756" s="133"/>
      <c r="G756" s="133"/>
      <c r="H756" s="132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</row>
    <row r="757" ht="15.75" customHeight="1">
      <c r="A757" s="132"/>
      <c r="B757" s="132"/>
      <c r="C757" s="132"/>
      <c r="D757" s="132"/>
      <c r="E757" s="132"/>
      <c r="F757" s="133"/>
      <c r="G757" s="133"/>
      <c r="H757" s="132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</row>
    <row r="758" ht="15.75" customHeight="1">
      <c r="A758" s="132"/>
      <c r="B758" s="132"/>
      <c r="C758" s="132"/>
      <c r="D758" s="132"/>
      <c r="E758" s="132"/>
      <c r="F758" s="133"/>
      <c r="G758" s="133"/>
      <c r="H758" s="132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</row>
    <row r="759" ht="15.75" customHeight="1">
      <c r="A759" s="132"/>
      <c r="B759" s="132"/>
      <c r="C759" s="132"/>
      <c r="D759" s="132"/>
      <c r="E759" s="132"/>
      <c r="F759" s="133"/>
      <c r="G759" s="133"/>
      <c r="H759" s="132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</row>
    <row r="760" ht="15.75" customHeight="1">
      <c r="A760" s="132"/>
      <c r="B760" s="132"/>
      <c r="C760" s="132"/>
      <c r="D760" s="132"/>
      <c r="E760" s="132"/>
      <c r="F760" s="133"/>
      <c r="G760" s="133"/>
      <c r="H760" s="132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</row>
    <row r="761" ht="15.75" customHeight="1">
      <c r="A761" s="132"/>
      <c r="B761" s="132"/>
      <c r="C761" s="132"/>
      <c r="D761" s="132"/>
      <c r="E761" s="132"/>
      <c r="F761" s="133"/>
      <c r="G761" s="133"/>
      <c r="H761" s="132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</row>
    <row r="762" ht="15.75" customHeight="1">
      <c r="A762" s="132"/>
      <c r="B762" s="132"/>
      <c r="C762" s="132"/>
      <c r="D762" s="132"/>
      <c r="E762" s="132"/>
      <c r="F762" s="133"/>
      <c r="G762" s="133"/>
      <c r="H762" s="132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</row>
    <row r="763" ht="15.75" customHeight="1">
      <c r="A763" s="132"/>
      <c r="B763" s="132"/>
      <c r="C763" s="132"/>
      <c r="D763" s="132"/>
      <c r="E763" s="132"/>
      <c r="F763" s="133"/>
      <c r="G763" s="133"/>
      <c r="H763" s="132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</row>
    <row r="764" ht="15.75" customHeight="1">
      <c r="A764" s="132"/>
      <c r="B764" s="132"/>
      <c r="C764" s="132"/>
      <c r="D764" s="132"/>
      <c r="E764" s="132"/>
      <c r="F764" s="133"/>
      <c r="G764" s="133"/>
      <c r="H764" s="132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</row>
    <row r="765" ht="15.75" customHeight="1">
      <c r="A765" s="132"/>
      <c r="B765" s="132"/>
      <c r="C765" s="132"/>
      <c r="D765" s="132"/>
      <c r="E765" s="132"/>
      <c r="F765" s="133"/>
      <c r="G765" s="133"/>
      <c r="H765" s="132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</row>
    <row r="766" ht="15.75" customHeight="1">
      <c r="A766" s="132"/>
      <c r="B766" s="132"/>
      <c r="C766" s="132"/>
      <c r="D766" s="132"/>
      <c r="E766" s="132"/>
      <c r="F766" s="133"/>
      <c r="G766" s="133"/>
      <c r="H766" s="132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</row>
    <row r="767" ht="15.75" customHeight="1">
      <c r="A767" s="132"/>
      <c r="B767" s="132"/>
      <c r="C767" s="132"/>
      <c r="D767" s="132"/>
      <c r="E767" s="132"/>
      <c r="F767" s="133"/>
      <c r="G767" s="133"/>
      <c r="H767" s="132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</row>
    <row r="768" ht="15.75" customHeight="1">
      <c r="A768" s="132"/>
      <c r="B768" s="132"/>
      <c r="C768" s="132"/>
      <c r="D768" s="132"/>
      <c r="E768" s="132"/>
      <c r="F768" s="133"/>
      <c r="G768" s="133"/>
      <c r="H768" s="132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</row>
    <row r="769" ht="15.75" customHeight="1">
      <c r="A769" s="132"/>
      <c r="B769" s="132"/>
      <c r="C769" s="132"/>
      <c r="D769" s="132"/>
      <c r="E769" s="132"/>
      <c r="F769" s="133"/>
      <c r="G769" s="133"/>
      <c r="H769" s="132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</row>
    <row r="770" ht="15.75" customHeight="1">
      <c r="A770" s="132"/>
      <c r="B770" s="132"/>
      <c r="C770" s="132"/>
      <c r="D770" s="132"/>
      <c r="E770" s="132"/>
      <c r="F770" s="133"/>
      <c r="G770" s="133"/>
      <c r="H770" s="132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</row>
    <row r="771" ht="15.75" customHeight="1">
      <c r="A771" s="132"/>
      <c r="B771" s="132"/>
      <c r="C771" s="132"/>
      <c r="D771" s="132"/>
      <c r="E771" s="132"/>
      <c r="F771" s="133"/>
      <c r="G771" s="133"/>
      <c r="H771" s="132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</row>
    <row r="772" ht="15.75" customHeight="1">
      <c r="A772" s="132"/>
      <c r="B772" s="132"/>
      <c r="C772" s="132"/>
      <c r="D772" s="132"/>
      <c r="E772" s="132"/>
      <c r="F772" s="133"/>
      <c r="G772" s="133"/>
      <c r="H772" s="132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</row>
    <row r="773" ht="15.75" customHeight="1">
      <c r="A773" s="132"/>
      <c r="B773" s="132"/>
      <c r="C773" s="132"/>
      <c r="D773" s="132"/>
      <c r="E773" s="132"/>
      <c r="F773" s="133"/>
      <c r="G773" s="133"/>
      <c r="H773" s="132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</row>
    <row r="774" ht="15.75" customHeight="1">
      <c r="A774" s="132"/>
      <c r="B774" s="132"/>
      <c r="C774" s="132"/>
      <c r="D774" s="132"/>
      <c r="E774" s="132"/>
      <c r="F774" s="133"/>
      <c r="G774" s="133"/>
      <c r="H774" s="132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</row>
    <row r="775" ht="15.75" customHeight="1">
      <c r="A775" s="132"/>
      <c r="B775" s="132"/>
      <c r="C775" s="132"/>
      <c r="D775" s="132"/>
      <c r="E775" s="132"/>
      <c r="F775" s="133"/>
      <c r="G775" s="133"/>
      <c r="H775" s="132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</row>
    <row r="776" ht="15.75" customHeight="1">
      <c r="A776" s="132"/>
      <c r="B776" s="132"/>
      <c r="C776" s="132"/>
      <c r="D776" s="132"/>
      <c r="E776" s="132"/>
      <c r="F776" s="133"/>
      <c r="G776" s="133"/>
      <c r="H776" s="132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</row>
    <row r="777" ht="15.75" customHeight="1">
      <c r="A777" s="132"/>
      <c r="B777" s="132"/>
      <c r="C777" s="132"/>
      <c r="D777" s="132"/>
      <c r="E777" s="132"/>
      <c r="F777" s="133"/>
      <c r="G777" s="133"/>
      <c r="H777" s="132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</row>
    <row r="778" ht="15.75" customHeight="1">
      <c r="A778" s="132"/>
      <c r="B778" s="132"/>
      <c r="C778" s="132"/>
      <c r="D778" s="132"/>
      <c r="E778" s="132"/>
      <c r="F778" s="133"/>
      <c r="G778" s="133"/>
      <c r="H778" s="132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</row>
    <row r="779" ht="15.75" customHeight="1">
      <c r="A779" s="132"/>
      <c r="B779" s="132"/>
      <c r="C779" s="132"/>
      <c r="D779" s="132"/>
      <c r="E779" s="132"/>
      <c r="F779" s="133"/>
      <c r="G779" s="133"/>
      <c r="H779" s="132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</row>
    <row r="780" ht="15.75" customHeight="1">
      <c r="A780" s="132"/>
      <c r="B780" s="132"/>
      <c r="C780" s="132"/>
      <c r="D780" s="132"/>
      <c r="E780" s="132"/>
      <c r="F780" s="133"/>
      <c r="G780" s="133"/>
      <c r="H780" s="132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</row>
    <row r="781" ht="15.75" customHeight="1">
      <c r="A781" s="132"/>
      <c r="B781" s="132"/>
      <c r="C781" s="132"/>
      <c r="D781" s="132"/>
      <c r="E781" s="132"/>
      <c r="F781" s="133"/>
      <c r="G781" s="133"/>
      <c r="H781" s="132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</row>
    <row r="782" ht="15.75" customHeight="1">
      <c r="A782" s="132"/>
      <c r="B782" s="132"/>
      <c r="C782" s="132"/>
      <c r="D782" s="132"/>
      <c r="E782" s="132"/>
      <c r="F782" s="133"/>
      <c r="G782" s="133"/>
      <c r="H782" s="132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</row>
    <row r="783" ht="15.75" customHeight="1">
      <c r="A783" s="132"/>
      <c r="B783" s="132"/>
      <c r="C783" s="132"/>
      <c r="D783" s="132"/>
      <c r="E783" s="132"/>
      <c r="F783" s="133"/>
      <c r="G783" s="133"/>
      <c r="H783" s="132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</row>
    <row r="784" ht="15.75" customHeight="1">
      <c r="A784" s="132"/>
      <c r="B784" s="132"/>
      <c r="C784" s="132"/>
      <c r="D784" s="132"/>
      <c r="E784" s="132"/>
      <c r="F784" s="133"/>
      <c r="G784" s="133"/>
      <c r="H784" s="132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</row>
    <row r="785" ht="15.75" customHeight="1">
      <c r="A785" s="132"/>
      <c r="B785" s="132"/>
      <c r="C785" s="132"/>
      <c r="D785" s="132"/>
      <c r="E785" s="132"/>
      <c r="F785" s="133"/>
      <c r="G785" s="133"/>
      <c r="H785" s="132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</row>
    <row r="786" ht="15.75" customHeight="1">
      <c r="A786" s="132"/>
      <c r="B786" s="132"/>
      <c r="C786" s="132"/>
      <c r="D786" s="132"/>
      <c r="E786" s="132"/>
      <c r="F786" s="133"/>
      <c r="G786" s="133"/>
      <c r="H786" s="132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</row>
    <row r="787" ht="15.75" customHeight="1">
      <c r="A787" s="132"/>
      <c r="B787" s="132"/>
      <c r="C787" s="132"/>
      <c r="D787" s="132"/>
      <c r="E787" s="132"/>
      <c r="F787" s="133"/>
      <c r="G787" s="133"/>
      <c r="H787" s="132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</row>
    <row r="788" ht="15.75" customHeight="1">
      <c r="A788" s="132"/>
      <c r="B788" s="132"/>
      <c r="C788" s="132"/>
      <c r="D788" s="132"/>
      <c r="E788" s="132"/>
      <c r="F788" s="133"/>
      <c r="G788" s="133"/>
      <c r="H788" s="132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</row>
    <row r="789" ht="15.75" customHeight="1">
      <c r="A789" s="132"/>
      <c r="B789" s="132"/>
      <c r="C789" s="132"/>
      <c r="D789" s="132"/>
      <c r="E789" s="132"/>
      <c r="F789" s="133"/>
      <c r="G789" s="133"/>
      <c r="H789" s="132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</row>
    <row r="790" ht="15.75" customHeight="1">
      <c r="A790" s="132"/>
      <c r="B790" s="132"/>
      <c r="C790" s="132"/>
      <c r="D790" s="132"/>
      <c r="E790" s="132"/>
      <c r="F790" s="133"/>
      <c r="G790" s="133"/>
      <c r="H790" s="132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</row>
    <row r="791" ht="15.75" customHeight="1">
      <c r="A791" s="132"/>
      <c r="B791" s="132"/>
      <c r="C791" s="132"/>
      <c r="D791" s="132"/>
      <c r="E791" s="132"/>
      <c r="F791" s="133"/>
      <c r="G791" s="133"/>
      <c r="H791" s="132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</row>
    <row r="792" ht="15.75" customHeight="1">
      <c r="A792" s="132"/>
      <c r="B792" s="132"/>
      <c r="C792" s="132"/>
      <c r="D792" s="132"/>
      <c r="E792" s="132"/>
      <c r="F792" s="133"/>
      <c r="G792" s="133"/>
      <c r="H792" s="132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</row>
    <row r="793" ht="15.75" customHeight="1">
      <c r="A793" s="132"/>
      <c r="B793" s="132"/>
      <c r="C793" s="132"/>
      <c r="D793" s="132"/>
      <c r="E793" s="132"/>
      <c r="F793" s="133"/>
      <c r="G793" s="133"/>
      <c r="H793" s="132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</row>
    <row r="794" ht="15.75" customHeight="1">
      <c r="A794" s="132"/>
      <c r="B794" s="132"/>
      <c r="C794" s="132"/>
      <c r="D794" s="132"/>
      <c r="E794" s="132"/>
      <c r="F794" s="133"/>
      <c r="G794" s="133"/>
      <c r="H794" s="132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</row>
    <row r="795" ht="15.75" customHeight="1">
      <c r="A795" s="132"/>
      <c r="B795" s="132"/>
      <c r="C795" s="132"/>
      <c r="D795" s="132"/>
      <c r="E795" s="132"/>
      <c r="F795" s="133"/>
      <c r="G795" s="133"/>
      <c r="H795" s="132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</row>
    <row r="796" ht="15.75" customHeight="1">
      <c r="A796" s="132"/>
      <c r="B796" s="132"/>
      <c r="C796" s="132"/>
      <c r="D796" s="132"/>
      <c r="E796" s="132"/>
      <c r="F796" s="133"/>
      <c r="G796" s="133"/>
      <c r="H796" s="132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</row>
    <row r="797" ht="15.75" customHeight="1">
      <c r="A797" s="132"/>
      <c r="B797" s="132"/>
      <c r="C797" s="132"/>
      <c r="D797" s="132"/>
      <c r="E797" s="132"/>
      <c r="F797" s="133"/>
      <c r="G797" s="133"/>
      <c r="H797" s="132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</row>
    <row r="798" ht="15.75" customHeight="1">
      <c r="A798" s="132"/>
      <c r="B798" s="132"/>
      <c r="C798" s="132"/>
      <c r="D798" s="132"/>
      <c r="E798" s="132"/>
      <c r="F798" s="133"/>
      <c r="G798" s="133"/>
      <c r="H798" s="132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</row>
    <row r="799" ht="15.75" customHeight="1">
      <c r="A799" s="132"/>
      <c r="B799" s="132"/>
      <c r="C799" s="132"/>
      <c r="D799" s="132"/>
      <c r="E799" s="132"/>
      <c r="F799" s="133"/>
      <c r="G799" s="133"/>
      <c r="H799" s="132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</row>
    <row r="800" ht="15.75" customHeight="1">
      <c r="A800" s="132"/>
      <c r="B800" s="132"/>
      <c r="C800" s="132"/>
      <c r="D800" s="132"/>
      <c r="E800" s="132"/>
      <c r="F800" s="133"/>
      <c r="G800" s="133"/>
      <c r="H800" s="132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</row>
    <row r="801" ht="15.75" customHeight="1">
      <c r="A801" s="132"/>
      <c r="B801" s="132"/>
      <c r="C801" s="132"/>
      <c r="D801" s="132"/>
      <c r="E801" s="132"/>
      <c r="F801" s="133"/>
      <c r="G801" s="133"/>
      <c r="H801" s="132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</row>
    <row r="802" ht="15.75" customHeight="1">
      <c r="A802" s="132"/>
      <c r="B802" s="132"/>
      <c r="C802" s="132"/>
      <c r="D802" s="132"/>
      <c r="E802" s="132"/>
      <c r="F802" s="133"/>
      <c r="G802" s="133"/>
      <c r="H802" s="132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</row>
    <row r="803" ht="15.75" customHeight="1">
      <c r="A803" s="132"/>
      <c r="B803" s="132"/>
      <c r="C803" s="132"/>
      <c r="D803" s="132"/>
      <c r="E803" s="132"/>
      <c r="F803" s="133"/>
      <c r="G803" s="133"/>
      <c r="H803" s="132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</row>
    <row r="804" ht="15.75" customHeight="1">
      <c r="A804" s="132"/>
      <c r="B804" s="132"/>
      <c r="C804" s="132"/>
      <c r="D804" s="132"/>
      <c r="E804" s="132"/>
      <c r="F804" s="133"/>
      <c r="G804" s="133"/>
      <c r="H804" s="132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</row>
    <row r="805" ht="15.75" customHeight="1">
      <c r="A805" s="132"/>
      <c r="B805" s="132"/>
      <c r="C805" s="132"/>
      <c r="D805" s="132"/>
      <c r="E805" s="132"/>
      <c r="F805" s="133"/>
      <c r="G805" s="133"/>
      <c r="H805" s="132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</row>
    <row r="806" ht="15.75" customHeight="1">
      <c r="A806" s="132"/>
      <c r="B806" s="132"/>
      <c r="C806" s="132"/>
      <c r="D806" s="132"/>
      <c r="E806" s="132"/>
      <c r="F806" s="133"/>
      <c r="G806" s="133"/>
      <c r="H806" s="132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</row>
    <row r="807" ht="15.75" customHeight="1">
      <c r="A807" s="132"/>
      <c r="B807" s="132"/>
      <c r="C807" s="132"/>
      <c r="D807" s="132"/>
      <c r="E807" s="132"/>
      <c r="F807" s="133"/>
      <c r="G807" s="133"/>
      <c r="H807" s="132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</row>
    <row r="808" ht="15.75" customHeight="1">
      <c r="A808" s="132"/>
      <c r="B808" s="132"/>
      <c r="C808" s="132"/>
      <c r="D808" s="132"/>
      <c r="E808" s="132"/>
      <c r="F808" s="133"/>
      <c r="G808" s="133"/>
      <c r="H808" s="132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</row>
    <row r="809" ht="15.75" customHeight="1">
      <c r="A809" s="132"/>
      <c r="B809" s="132"/>
      <c r="C809" s="132"/>
      <c r="D809" s="132"/>
      <c r="E809" s="132"/>
      <c r="F809" s="133"/>
      <c r="G809" s="133"/>
      <c r="H809" s="132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</row>
    <row r="810" ht="15.75" customHeight="1">
      <c r="A810" s="132"/>
      <c r="B810" s="132"/>
      <c r="C810" s="132"/>
      <c r="D810" s="132"/>
      <c r="E810" s="132"/>
      <c r="F810" s="133"/>
      <c r="G810" s="133"/>
      <c r="H810" s="132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</row>
    <row r="811" ht="15.75" customHeight="1">
      <c r="A811" s="132"/>
      <c r="B811" s="132"/>
      <c r="C811" s="132"/>
      <c r="D811" s="132"/>
      <c r="E811" s="132"/>
      <c r="F811" s="133"/>
      <c r="G811" s="133"/>
      <c r="H811" s="132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</row>
    <row r="812" ht="15.75" customHeight="1">
      <c r="A812" s="132"/>
      <c r="B812" s="132"/>
      <c r="C812" s="132"/>
      <c r="D812" s="132"/>
      <c r="E812" s="132"/>
      <c r="F812" s="133"/>
      <c r="G812" s="133"/>
      <c r="H812" s="132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</row>
    <row r="813" ht="15.75" customHeight="1">
      <c r="A813" s="132"/>
      <c r="B813" s="132"/>
      <c r="C813" s="132"/>
      <c r="D813" s="132"/>
      <c r="E813" s="132"/>
      <c r="F813" s="133"/>
      <c r="G813" s="133"/>
      <c r="H813" s="132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</row>
    <row r="814" ht="15.75" customHeight="1">
      <c r="A814" s="132"/>
      <c r="B814" s="132"/>
      <c r="C814" s="132"/>
      <c r="D814" s="132"/>
      <c r="E814" s="132"/>
      <c r="F814" s="133"/>
      <c r="G814" s="133"/>
      <c r="H814" s="132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</row>
    <row r="815" ht="15.75" customHeight="1">
      <c r="A815" s="132"/>
      <c r="B815" s="132"/>
      <c r="C815" s="132"/>
      <c r="D815" s="132"/>
      <c r="E815" s="132"/>
      <c r="F815" s="133"/>
      <c r="G815" s="133"/>
      <c r="H815" s="132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</row>
    <row r="816" ht="15.75" customHeight="1">
      <c r="A816" s="132"/>
      <c r="B816" s="132"/>
      <c r="C816" s="132"/>
      <c r="D816" s="132"/>
      <c r="E816" s="132"/>
      <c r="F816" s="133"/>
      <c r="G816" s="133"/>
      <c r="H816" s="132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</row>
    <row r="817" ht="15.75" customHeight="1">
      <c r="A817" s="132"/>
      <c r="B817" s="132"/>
      <c r="C817" s="132"/>
      <c r="D817" s="132"/>
      <c r="E817" s="132"/>
      <c r="F817" s="133"/>
      <c r="G817" s="133"/>
      <c r="H817" s="132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</row>
    <row r="818" ht="15.75" customHeight="1">
      <c r="A818" s="132"/>
      <c r="B818" s="132"/>
      <c r="C818" s="132"/>
      <c r="D818" s="132"/>
      <c r="E818" s="132"/>
      <c r="F818" s="133"/>
      <c r="G818" s="133"/>
      <c r="H818" s="132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</row>
    <row r="819" ht="15.75" customHeight="1">
      <c r="A819" s="132"/>
      <c r="B819" s="132"/>
      <c r="C819" s="132"/>
      <c r="D819" s="132"/>
      <c r="E819" s="132"/>
      <c r="F819" s="133"/>
      <c r="G819" s="133"/>
      <c r="H819" s="132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</row>
    <row r="820" ht="15.75" customHeight="1">
      <c r="A820" s="132"/>
      <c r="B820" s="132"/>
      <c r="C820" s="132"/>
      <c r="D820" s="132"/>
      <c r="E820" s="132"/>
      <c r="F820" s="133"/>
      <c r="G820" s="133"/>
      <c r="H820" s="132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</row>
    <row r="821" ht="15.75" customHeight="1">
      <c r="A821" s="132"/>
      <c r="B821" s="132"/>
      <c r="C821" s="132"/>
      <c r="D821" s="132"/>
      <c r="E821" s="132"/>
      <c r="F821" s="133"/>
      <c r="G821" s="133"/>
      <c r="H821" s="132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</row>
    <row r="822" ht="15.75" customHeight="1">
      <c r="A822" s="132"/>
      <c r="B822" s="132"/>
      <c r="C822" s="132"/>
      <c r="D822" s="132"/>
      <c r="E822" s="132"/>
      <c r="F822" s="133"/>
      <c r="G822" s="133"/>
      <c r="H822" s="132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</row>
    <row r="823" ht="15.75" customHeight="1">
      <c r="A823" s="132"/>
      <c r="B823" s="132"/>
      <c r="C823" s="132"/>
      <c r="D823" s="132"/>
      <c r="E823" s="132"/>
      <c r="F823" s="133"/>
      <c r="G823" s="133"/>
      <c r="H823" s="132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</row>
    <row r="824" ht="15.75" customHeight="1">
      <c r="A824" s="132"/>
      <c r="B824" s="132"/>
      <c r="C824" s="132"/>
      <c r="D824" s="132"/>
      <c r="E824" s="132"/>
      <c r="F824" s="133"/>
      <c r="G824" s="133"/>
      <c r="H824" s="132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</row>
    <row r="825" ht="15.75" customHeight="1">
      <c r="A825" s="132"/>
      <c r="B825" s="132"/>
      <c r="C825" s="132"/>
      <c r="D825" s="132"/>
      <c r="E825" s="132"/>
      <c r="F825" s="133"/>
      <c r="G825" s="133"/>
      <c r="H825" s="132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</row>
    <row r="826" ht="15.75" customHeight="1">
      <c r="A826" s="132"/>
      <c r="B826" s="132"/>
      <c r="C826" s="132"/>
      <c r="D826" s="132"/>
      <c r="E826" s="132"/>
      <c r="F826" s="133"/>
      <c r="G826" s="133"/>
      <c r="H826" s="132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</row>
    <row r="827" ht="15.75" customHeight="1">
      <c r="A827" s="132"/>
      <c r="B827" s="132"/>
      <c r="C827" s="132"/>
      <c r="D827" s="132"/>
      <c r="E827" s="132"/>
      <c r="F827" s="133"/>
      <c r="G827" s="133"/>
      <c r="H827" s="132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</row>
    <row r="828" ht="15.75" customHeight="1">
      <c r="A828" s="132"/>
      <c r="B828" s="132"/>
      <c r="C828" s="132"/>
      <c r="D828" s="132"/>
      <c r="E828" s="132"/>
      <c r="F828" s="133"/>
      <c r="G828" s="133"/>
      <c r="H828" s="132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</row>
    <row r="829" ht="15.75" customHeight="1">
      <c r="A829" s="132"/>
      <c r="B829" s="132"/>
      <c r="C829" s="132"/>
      <c r="D829" s="132"/>
      <c r="E829" s="132"/>
      <c r="F829" s="133"/>
      <c r="G829" s="133"/>
      <c r="H829" s="132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</row>
    <row r="830" ht="15.75" customHeight="1">
      <c r="A830" s="132"/>
      <c r="B830" s="132"/>
      <c r="C830" s="132"/>
      <c r="D830" s="132"/>
      <c r="E830" s="132"/>
      <c r="F830" s="133"/>
      <c r="G830" s="133"/>
      <c r="H830" s="132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</row>
    <row r="831" ht="15.75" customHeight="1">
      <c r="A831" s="132"/>
      <c r="B831" s="132"/>
      <c r="C831" s="132"/>
      <c r="D831" s="132"/>
      <c r="E831" s="132"/>
      <c r="F831" s="133"/>
      <c r="G831" s="133"/>
      <c r="H831" s="132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</row>
    <row r="832" ht="15.75" customHeight="1">
      <c r="A832" s="132"/>
      <c r="B832" s="132"/>
      <c r="C832" s="132"/>
      <c r="D832" s="132"/>
      <c r="E832" s="132"/>
      <c r="F832" s="133"/>
      <c r="G832" s="133"/>
      <c r="H832" s="132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</row>
    <row r="833" ht="15.75" customHeight="1">
      <c r="A833" s="132"/>
      <c r="B833" s="132"/>
      <c r="C833" s="132"/>
      <c r="D833" s="132"/>
      <c r="E833" s="132"/>
      <c r="F833" s="133"/>
      <c r="G833" s="133"/>
      <c r="H833" s="132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</row>
    <row r="834" ht="15.75" customHeight="1">
      <c r="A834" s="132"/>
      <c r="B834" s="132"/>
      <c r="C834" s="132"/>
      <c r="D834" s="132"/>
      <c r="E834" s="132"/>
      <c r="F834" s="133"/>
      <c r="G834" s="133"/>
      <c r="H834" s="132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</row>
    <row r="835" ht="15.75" customHeight="1">
      <c r="A835" s="132"/>
      <c r="B835" s="132"/>
      <c r="C835" s="132"/>
      <c r="D835" s="132"/>
      <c r="E835" s="132"/>
      <c r="F835" s="133"/>
      <c r="G835" s="133"/>
      <c r="H835" s="132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</row>
    <row r="836" ht="15.75" customHeight="1">
      <c r="A836" s="132"/>
      <c r="B836" s="132"/>
      <c r="C836" s="132"/>
      <c r="D836" s="132"/>
      <c r="E836" s="132"/>
      <c r="F836" s="133"/>
      <c r="G836" s="133"/>
      <c r="H836" s="132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</row>
    <row r="837" ht="15.75" customHeight="1">
      <c r="A837" s="132"/>
      <c r="B837" s="132"/>
      <c r="C837" s="132"/>
      <c r="D837" s="132"/>
      <c r="E837" s="132"/>
      <c r="F837" s="133"/>
      <c r="G837" s="133"/>
      <c r="H837" s="132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</row>
    <row r="838" ht="15.75" customHeight="1">
      <c r="A838" s="132"/>
      <c r="B838" s="132"/>
      <c r="C838" s="132"/>
      <c r="D838" s="132"/>
      <c r="E838" s="132"/>
      <c r="F838" s="133"/>
      <c r="G838" s="133"/>
      <c r="H838" s="132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</row>
    <row r="839" ht="15.75" customHeight="1">
      <c r="A839" s="132"/>
      <c r="B839" s="132"/>
      <c r="C839" s="132"/>
      <c r="D839" s="132"/>
      <c r="E839" s="132"/>
      <c r="F839" s="133"/>
      <c r="G839" s="133"/>
      <c r="H839" s="132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</row>
    <row r="840" ht="15.75" customHeight="1">
      <c r="A840" s="132"/>
      <c r="B840" s="132"/>
      <c r="C840" s="132"/>
      <c r="D840" s="132"/>
      <c r="E840" s="132"/>
      <c r="F840" s="133"/>
      <c r="G840" s="133"/>
      <c r="H840" s="132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</row>
    <row r="841" ht="15.75" customHeight="1">
      <c r="A841" s="132"/>
      <c r="B841" s="132"/>
      <c r="C841" s="132"/>
      <c r="D841" s="132"/>
      <c r="E841" s="132"/>
      <c r="F841" s="133"/>
      <c r="G841" s="133"/>
      <c r="H841" s="132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</row>
    <row r="842" ht="15.75" customHeight="1">
      <c r="A842" s="132"/>
      <c r="B842" s="132"/>
      <c r="C842" s="132"/>
      <c r="D842" s="132"/>
      <c r="E842" s="132"/>
      <c r="F842" s="133"/>
      <c r="G842" s="133"/>
      <c r="H842" s="132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</row>
    <row r="843" ht="15.75" customHeight="1">
      <c r="A843" s="132"/>
      <c r="B843" s="132"/>
      <c r="C843" s="132"/>
      <c r="D843" s="132"/>
      <c r="E843" s="132"/>
      <c r="F843" s="133"/>
      <c r="G843" s="133"/>
      <c r="H843" s="132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</row>
    <row r="844" ht="15.75" customHeight="1">
      <c r="A844" s="132"/>
      <c r="B844" s="132"/>
      <c r="C844" s="132"/>
      <c r="D844" s="132"/>
      <c r="E844" s="132"/>
      <c r="F844" s="133"/>
      <c r="G844" s="133"/>
      <c r="H844" s="132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</row>
    <row r="845" ht="15.75" customHeight="1">
      <c r="A845" s="132"/>
      <c r="B845" s="132"/>
      <c r="C845" s="132"/>
      <c r="D845" s="132"/>
      <c r="E845" s="132"/>
      <c r="F845" s="133"/>
      <c r="G845" s="133"/>
      <c r="H845" s="132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</row>
    <row r="846" ht="15.75" customHeight="1">
      <c r="A846" s="132"/>
      <c r="B846" s="132"/>
      <c r="C846" s="132"/>
      <c r="D846" s="132"/>
      <c r="E846" s="132"/>
      <c r="F846" s="133"/>
      <c r="G846" s="133"/>
      <c r="H846" s="132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</row>
    <row r="847" ht="15.75" customHeight="1">
      <c r="A847" s="132"/>
      <c r="B847" s="132"/>
      <c r="C847" s="132"/>
      <c r="D847" s="132"/>
      <c r="E847" s="132"/>
      <c r="F847" s="133"/>
      <c r="G847" s="133"/>
      <c r="H847" s="132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</row>
    <row r="848" ht="15.75" customHeight="1">
      <c r="A848" s="132"/>
      <c r="B848" s="132"/>
      <c r="C848" s="132"/>
      <c r="D848" s="132"/>
      <c r="E848" s="132"/>
      <c r="F848" s="133"/>
      <c r="G848" s="133"/>
      <c r="H848" s="132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</row>
    <row r="849" ht="15.75" customHeight="1">
      <c r="A849" s="132"/>
      <c r="B849" s="132"/>
      <c r="C849" s="132"/>
      <c r="D849" s="132"/>
      <c r="E849" s="132"/>
      <c r="F849" s="133"/>
      <c r="G849" s="133"/>
      <c r="H849" s="132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</row>
    <row r="850" ht="15.75" customHeight="1">
      <c r="A850" s="132"/>
      <c r="B850" s="132"/>
      <c r="C850" s="132"/>
      <c r="D850" s="132"/>
      <c r="E850" s="132"/>
      <c r="F850" s="133"/>
      <c r="G850" s="133"/>
      <c r="H850" s="132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</row>
    <row r="851" ht="15.75" customHeight="1">
      <c r="A851" s="132"/>
      <c r="B851" s="132"/>
      <c r="C851" s="132"/>
      <c r="D851" s="132"/>
      <c r="E851" s="132"/>
      <c r="F851" s="133"/>
      <c r="G851" s="133"/>
      <c r="H851" s="132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</row>
    <row r="852" ht="15.75" customHeight="1">
      <c r="A852" s="132"/>
      <c r="B852" s="132"/>
      <c r="C852" s="132"/>
      <c r="D852" s="132"/>
      <c r="E852" s="132"/>
      <c r="F852" s="133"/>
      <c r="G852" s="133"/>
      <c r="H852" s="132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</row>
    <row r="853" ht="15.75" customHeight="1">
      <c r="A853" s="132"/>
      <c r="B853" s="132"/>
      <c r="C853" s="132"/>
      <c r="D853" s="132"/>
      <c r="E853" s="132"/>
      <c r="F853" s="133"/>
      <c r="G853" s="133"/>
      <c r="H853" s="132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</row>
    <row r="854" ht="15.75" customHeight="1">
      <c r="A854" s="132"/>
      <c r="B854" s="132"/>
      <c r="C854" s="132"/>
      <c r="D854" s="132"/>
      <c r="E854" s="132"/>
      <c r="F854" s="133"/>
      <c r="G854" s="133"/>
      <c r="H854" s="132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</row>
    <row r="855" ht="15.75" customHeight="1">
      <c r="A855" s="132"/>
      <c r="B855" s="132"/>
      <c r="C855" s="132"/>
      <c r="D855" s="132"/>
      <c r="E855" s="132"/>
      <c r="F855" s="133"/>
      <c r="G855" s="133"/>
      <c r="H855" s="132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</row>
    <row r="856" ht="15.75" customHeight="1">
      <c r="A856" s="132"/>
      <c r="B856" s="132"/>
      <c r="C856" s="132"/>
      <c r="D856" s="132"/>
      <c r="E856" s="132"/>
      <c r="F856" s="133"/>
      <c r="G856" s="133"/>
      <c r="H856" s="132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</row>
    <row r="857" ht="15.75" customHeight="1">
      <c r="A857" s="132"/>
      <c r="B857" s="132"/>
      <c r="C857" s="132"/>
      <c r="D857" s="132"/>
      <c r="E857" s="132"/>
      <c r="F857" s="133"/>
      <c r="G857" s="133"/>
      <c r="H857" s="132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</row>
    <row r="858" ht="15.75" customHeight="1">
      <c r="A858" s="132"/>
      <c r="B858" s="132"/>
      <c r="C858" s="132"/>
      <c r="D858" s="132"/>
      <c r="E858" s="132"/>
      <c r="F858" s="133"/>
      <c r="G858" s="133"/>
      <c r="H858" s="132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</row>
    <row r="859" ht="15.75" customHeight="1">
      <c r="A859" s="132"/>
      <c r="B859" s="132"/>
      <c r="C859" s="132"/>
      <c r="D859" s="132"/>
      <c r="E859" s="132"/>
      <c r="F859" s="133"/>
      <c r="G859" s="133"/>
      <c r="H859" s="132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</row>
    <row r="860" ht="15.75" customHeight="1">
      <c r="A860" s="132"/>
      <c r="B860" s="132"/>
      <c r="C860" s="132"/>
      <c r="D860" s="132"/>
      <c r="E860" s="132"/>
      <c r="F860" s="133"/>
      <c r="G860" s="133"/>
      <c r="H860" s="132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</row>
    <row r="861" ht="15.75" customHeight="1">
      <c r="A861" s="132"/>
      <c r="B861" s="132"/>
      <c r="C861" s="132"/>
      <c r="D861" s="132"/>
      <c r="E861" s="132"/>
      <c r="F861" s="133"/>
      <c r="G861" s="133"/>
      <c r="H861" s="132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</row>
    <row r="862" ht="15.75" customHeight="1">
      <c r="A862" s="132"/>
      <c r="B862" s="132"/>
      <c r="C862" s="132"/>
      <c r="D862" s="132"/>
      <c r="E862" s="132"/>
      <c r="F862" s="133"/>
      <c r="G862" s="133"/>
      <c r="H862" s="132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</row>
    <row r="863" ht="15.75" customHeight="1">
      <c r="A863" s="132"/>
      <c r="B863" s="132"/>
      <c r="C863" s="132"/>
      <c r="D863" s="132"/>
      <c r="E863" s="132"/>
      <c r="F863" s="133"/>
      <c r="G863" s="133"/>
      <c r="H863" s="132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</row>
    <row r="864" ht="15.75" customHeight="1">
      <c r="A864" s="132"/>
      <c r="B864" s="132"/>
      <c r="C864" s="132"/>
      <c r="D864" s="132"/>
      <c r="E864" s="132"/>
      <c r="F864" s="133"/>
      <c r="G864" s="133"/>
      <c r="H864" s="132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</row>
    <row r="865" ht="15.75" customHeight="1">
      <c r="A865" s="132"/>
      <c r="B865" s="132"/>
      <c r="C865" s="132"/>
      <c r="D865" s="132"/>
      <c r="E865" s="132"/>
      <c r="F865" s="133"/>
      <c r="G865" s="133"/>
      <c r="H865" s="132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</row>
    <row r="866" ht="15.75" customHeight="1">
      <c r="A866" s="132"/>
      <c r="B866" s="132"/>
      <c r="C866" s="132"/>
      <c r="D866" s="132"/>
      <c r="E866" s="132"/>
      <c r="F866" s="133"/>
      <c r="G866" s="133"/>
      <c r="H866" s="132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</row>
    <row r="867" ht="15.75" customHeight="1">
      <c r="A867" s="132"/>
      <c r="B867" s="132"/>
      <c r="C867" s="132"/>
      <c r="D867" s="132"/>
      <c r="E867" s="132"/>
      <c r="F867" s="133"/>
      <c r="G867" s="133"/>
      <c r="H867" s="132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</row>
    <row r="868" ht="15.75" customHeight="1">
      <c r="A868" s="132"/>
      <c r="B868" s="132"/>
      <c r="C868" s="132"/>
      <c r="D868" s="132"/>
      <c r="E868" s="132"/>
      <c r="F868" s="133"/>
      <c r="G868" s="133"/>
      <c r="H868" s="132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</row>
    <row r="869" ht="15.75" customHeight="1">
      <c r="A869" s="132"/>
      <c r="B869" s="132"/>
      <c r="C869" s="132"/>
      <c r="D869" s="132"/>
      <c r="E869" s="132"/>
      <c r="F869" s="133"/>
      <c r="G869" s="133"/>
      <c r="H869" s="132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</row>
    <row r="870" ht="15.75" customHeight="1">
      <c r="A870" s="132"/>
      <c r="B870" s="132"/>
      <c r="C870" s="132"/>
      <c r="D870" s="132"/>
      <c r="E870" s="132"/>
      <c r="F870" s="133"/>
      <c r="G870" s="133"/>
      <c r="H870" s="132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</row>
    <row r="871" ht="15.75" customHeight="1">
      <c r="A871" s="132"/>
      <c r="B871" s="132"/>
      <c r="C871" s="132"/>
      <c r="D871" s="132"/>
      <c r="E871" s="132"/>
      <c r="F871" s="133"/>
      <c r="G871" s="133"/>
      <c r="H871" s="132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</row>
    <row r="872" ht="15.75" customHeight="1">
      <c r="A872" s="132"/>
      <c r="B872" s="132"/>
      <c r="C872" s="132"/>
      <c r="D872" s="132"/>
      <c r="E872" s="132"/>
      <c r="F872" s="133"/>
      <c r="G872" s="133"/>
      <c r="H872" s="132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</row>
    <row r="873" ht="15.75" customHeight="1">
      <c r="A873" s="132"/>
      <c r="B873" s="132"/>
      <c r="C873" s="132"/>
      <c r="D873" s="132"/>
      <c r="E873" s="132"/>
      <c r="F873" s="133"/>
      <c r="G873" s="133"/>
      <c r="H873" s="132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</row>
    <row r="874" ht="15.75" customHeight="1">
      <c r="A874" s="132"/>
      <c r="B874" s="132"/>
      <c r="C874" s="132"/>
      <c r="D874" s="132"/>
      <c r="E874" s="132"/>
      <c r="F874" s="133"/>
      <c r="G874" s="133"/>
      <c r="H874" s="132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</row>
    <row r="875" ht="15.75" customHeight="1">
      <c r="A875" s="132"/>
      <c r="B875" s="132"/>
      <c r="C875" s="132"/>
      <c r="D875" s="132"/>
      <c r="E875" s="132"/>
      <c r="F875" s="133"/>
      <c r="G875" s="133"/>
      <c r="H875" s="132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</row>
    <row r="876" ht="15.75" customHeight="1">
      <c r="A876" s="132"/>
      <c r="B876" s="132"/>
      <c r="C876" s="132"/>
      <c r="D876" s="132"/>
      <c r="E876" s="132"/>
      <c r="F876" s="133"/>
      <c r="G876" s="133"/>
      <c r="H876" s="132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</row>
    <row r="877" ht="15.75" customHeight="1">
      <c r="A877" s="132"/>
      <c r="B877" s="132"/>
      <c r="C877" s="132"/>
      <c r="D877" s="132"/>
      <c r="E877" s="132"/>
      <c r="F877" s="133"/>
      <c r="G877" s="133"/>
      <c r="H877" s="132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</row>
    <row r="878" ht="15.75" customHeight="1">
      <c r="A878" s="132"/>
      <c r="B878" s="132"/>
      <c r="C878" s="132"/>
      <c r="D878" s="132"/>
      <c r="E878" s="132"/>
      <c r="F878" s="133"/>
      <c r="G878" s="133"/>
      <c r="H878" s="132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</row>
    <row r="879" ht="15.75" customHeight="1">
      <c r="A879" s="132"/>
      <c r="B879" s="132"/>
      <c r="C879" s="132"/>
      <c r="D879" s="132"/>
      <c r="E879" s="132"/>
      <c r="F879" s="133"/>
      <c r="G879" s="133"/>
      <c r="H879" s="132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</row>
    <row r="880" ht="15.75" customHeight="1">
      <c r="A880" s="132"/>
      <c r="B880" s="132"/>
      <c r="C880" s="132"/>
      <c r="D880" s="132"/>
      <c r="E880" s="132"/>
      <c r="F880" s="133"/>
      <c r="G880" s="133"/>
      <c r="H880" s="132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</row>
    <row r="881" ht="15.75" customHeight="1">
      <c r="A881" s="132"/>
      <c r="B881" s="132"/>
      <c r="C881" s="132"/>
      <c r="D881" s="132"/>
      <c r="E881" s="132"/>
      <c r="F881" s="133"/>
      <c r="G881" s="133"/>
      <c r="H881" s="132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</row>
    <row r="882" ht="15.75" customHeight="1">
      <c r="A882" s="132"/>
      <c r="B882" s="132"/>
      <c r="C882" s="132"/>
      <c r="D882" s="132"/>
      <c r="E882" s="132"/>
      <c r="F882" s="133"/>
      <c r="G882" s="133"/>
      <c r="H882" s="132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</row>
    <row r="883" ht="15.75" customHeight="1">
      <c r="A883" s="132"/>
      <c r="B883" s="132"/>
      <c r="C883" s="132"/>
      <c r="D883" s="132"/>
      <c r="E883" s="132"/>
      <c r="F883" s="133"/>
      <c r="G883" s="133"/>
      <c r="H883" s="132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</row>
    <row r="884" ht="15.75" customHeight="1">
      <c r="A884" s="132"/>
      <c r="B884" s="132"/>
      <c r="C884" s="132"/>
      <c r="D884" s="132"/>
      <c r="E884" s="132"/>
      <c r="F884" s="133"/>
      <c r="G884" s="133"/>
      <c r="H884" s="132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</row>
    <row r="885" ht="15.75" customHeight="1">
      <c r="A885" s="132"/>
      <c r="B885" s="132"/>
      <c r="C885" s="132"/>
      <c r="D885" s="132"/>
      <c r="E885" s="132"/>
      <c r="F885" s="133"/>
      <c r="G885" s="133"/>
      <c r="H885" s="132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</row>
    <row r="886" ht="15.75" customHeight="1">
      <c r="A886" s="132"/>
      <c r="B886" s="132"/>
      <c r="C886" s="132"/>
      <c r="D886" s="132"/>
      <c r="E886" s="132"/>
      <c r="F886" s="133"/>
      <c r="G886" s="133"/>
      <c r="H886" s="132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</row>
    <row r="887" ht="15.75" customHeight="1">
      <c r="A887" s="132"/>
      <c r="B887" s="132"/>
      <c r="C887" s="132"/>
      <c r="D887" s="132"/>
      <c r="E887" s="132"/>
      <c r="F887" s="133"/>
      <c r="G887" s="133"/>
      <c r="H887" s="132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</row>
    <row r="888" ht="15.75" customHeight="1">
      <c r="A888" s="132"/>
      <c r="B888" s="132"/>
      <c r="C888" s="132"/>
      <c r="D888" s="132"/>
      <c r="E888" s="132"/>
      <c r="F888" s="133"/>
      <c r="G888" s="133"/>
      <c r="H888" s="132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</row>
    <row r="889" ht="15.75" customHeight="1">
      <c r="A889" s="132"/>
      <c r="B889" s="132"/>
      <c r="C889" s="132"/>
      <c r="D889" s="132"/>
      <c r="E889" s="132"/>
      <c r="F889" s="133"/>
      <c r="G889" s="133"/>
      <c r="H889" s="132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</row>
    <row r="890" ht="15.75" customHeight="1">
      <c r="A890" s="132"/>
      <c r="B890" s="132"/>
      <c r="C890" s="132"/>
      <c r="D890" s="132"/>
      <c r="E890" s="132"/>
      <c r="F890" s="133"/>
      <c r="G890" s="133"/>
      <c r="H890" s="132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</row>
    <row r="891" ht="15.75" customHeight="1">
      <c r="A891" s="132"/>
      <c r="B891" s="132"/>
      <c r="C891" s="132"/>
      <c r="D891" s="132"/>
      <c r="E891" s="132"/>
      <c r="F891" s="133"/>
      <c r="G891" s="133"/>
      <c r="H891" s="132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</row>
    <row r="892" ht="15.75" customHeight="1">
      <c r="A892" s="132"/>
      <c r="B892" s="132"/>
      <c r="C892" s="132"/>
      <c r="D892" s="132"/>
      <c r="E892" s="132"/>
      <c r="F892" s="133"/>
      <c r="G892" s="133"/>
      <c r="H892" s="132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</row>
    <row r="893" ht="15.75" customHeight="1">
      <c r="A893" s="132"/>
      <c r="B893" s="132"/>
      <c r="C893" s="132"/>
      <c r="D893" s="132"/>
      <c r="E893" s="132"/>
      <c r="F893" s="133"/>
      <c r="G893" s="133"/>
      <c r="H893" s="132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</row>
    <row r="894" ht="15.75" customHeight="1">
      <c r="A894" s="132"/>
      <c r="B894" s="132"/>
      <c r="C894" s="132"/>
      <c r="D894" s="132"/>
      <c r="E894" s="132"/>
      <c r="F894" s="133"/>
      <c r="G894" s="133"/>
      <c r="H894" s="132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</row>
    <row r="895" ht="15.75" customHeight="1">
      <c r="A895" s="132"/>
      <c r="B895" s="132"/>
      <c r="C895" s="132"/>
      <c r="D895" s="132"/>
      <c r="E895" s="132"/>
      <c r="F895" s="133"/>
      <c r="G895" s="133"/>
      <c r="H895" s="132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</row>
    <row r="896" ht="15.75" customHeight="1">
      <c r="A896" s="132"/>
      <c r="B896" s="132"/>
      <c r="C896" s="132"/>
      <c r="D896" s="132"/>
      <c r="E896" s="132"/>
      <c r="F896" s="133"/>
      <c r="G896" s="133"/>
      <c r="H896" s="132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</row>
    <row r="897" ht="15.75" customHeight="1">
      <c r="A897" s="132"/>
      <c r="B897" s="132"/>
      <c r="C897" s="132"/>
      <c r="D897" s="132"/>
      <c r="E897" s="132"/>
      <c r="F897" s="133"/>
      <c r="G897" s="133"/>
      <c r="H897" s="132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</row>
    <row r="898" ht="15.75" customHeight="1">
      <c r="A898" s="132"/>
      <c r="B898" s="132"/>
      <c r="C898" s="132"/>
      <c r="D898" s="132"/>
      <c r="E898" s="132"/>
      <c r="F898" s="133"/>
      <c r="G898" s="133"/>
      <c r="H898" s="132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</row>
    <row r="899" ht="15.75" customHeight="1">
      <c r="A899" s="132"/>
      <c r="B899" s="132"/>
      <c r="C899" s="132"/>
      <c r="D899" s="132"/>
      <c r="E899" s="132"/>
      <c r="F899" s="133"/>
      <c r="G899" s="133"/>
      <c r="H899" s="132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</row>
    <row r="900" ht="15.75" customHeight="1">
      <c r="A900" s="132"/>
      <c r="B900" s="132"/>
      <c r="C900" s="132"/>
      <c r="D900" s="132"/>
      <c r="E900" s="132"/>
      <c r="F900" s="133"/>
      <c r="G900" s="133"/>
      <c r="H900" s="132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</row>
    <row r="901" ht="15.75" customHeight="1">
      <c r="A901" s="132"/>
      <c r="B901" s="132"/>
      <c r="C901" s="132"/>
      <c r="D901" s="132"/>
      <c r="E901" s="132"/>
      <c r="F901" s="133"/>
      <c r="G901" s="133"/>
      <c r="H901" s="132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</row>
    <row r="902" ht="15.75" customHeight="1">
      <c r="A902" s="132"/>
      <c r="B902" s="132"/>
      <c r="C902" s="132"/>
      <c r="D902" s="132"/>
      <c r="E902" s="132"/>
      <c r="F902" s="133"/>
      <c r="G902" s="133"/>
      <c r="H902" s="132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</row>
    <row r="903" ht="15.75" customHeight="1">
      <c r="A903" s="132"/>
      <c r="B903" s="132"/>
      <c r="C903" s="132"/>
      <c r="D903" s="132"/>
      <c r="E903" s="132"/>
      <c r="F903" s="133"/>
      <c r="G903" s="133"/>
      <c r="H903" s="132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</row>
    <row r="904" ht="15.75" customHeight="1">
      <c r="A904" s="132"/>
      <c r="B904" s="132"/>
      <c r="C904" s="132"/>
      <c r="D904" s="132"/>
      <c r="E904" s="132"/>
      <c r="F904" s="133"/>
      <c r="G904" s="133"/>
      <c r="H904" s="132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</row>
    <row r="905" ht="15.75" customHeight="1">
      <c r="A905" s="132"/>
      <c r="B905" s="132"/>
      <c r="C905" s="132"/>
      <c r="D905" s="132"/>
      <c r="E905" s="132"/>
      <c r="F905" s="133"/>
      <c r="G905" s="133"/>
      <c r="H905" s="132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</row>
    <row r="906" ht="15.75" customHeight="1">
      <c r="A906" s="132"/>
      <c r="B906" s="132"/>
      <c r="C906" s="132"/>
      <c r="D906" s="132"/>
      <c r="E906" s="132"/>
      <c r="F906" s="133"/>
      <c r="G906" s="133"/>
      <c r="H906" s="132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</row>
    <row r="907" ht="15.75" customHeight="1">
      <c r="A907" s="132"/>
      <c r="B907" s="132"/>
      <c r="C907" s="132"/>
      <c r="D907" s="132"/>
      <c r="E907" s="132"/>
      <c r="F907" s="133"/>
      <c r="G907" s="133"/>
      <c r="H907" s="132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</row>
    <row r="908" ht="15.75" customHeight="1">
      <c r="A908" s="132"/>
      <c r="B908" s="132"/>
      <c r="C908" s="132"/>
      <c r="D908" s="132"/>
      <c r="E908" s="132"/>
      <c r="F908" s="133"/>
      <c r="G908" s="133"/>
      <c r="H908" s="132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</row>
    <row r="909" ht="15.75" customHeight="1">
      <c r="A909" s="132"/>
      <c r="B909" s="132"/>
      <c r="C909" s="132"/>
      <c r="D909" s="132"/>
      <c r="E909" s="132"/>
      <c r="F909" s="133"/>
      <c r="G909" s="133"/>
      <c r="H909" s="132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</row>
    <row r="910" ht="15.75" customHeight="1">
      <c r="A910" s="132"/>
      <c r="B910" s="132"/>
      <c r="C910" s="132"/>
      <c r="D910" s="132"/>
      <c r="E910" s="132"/>
      <c r="F910" s="133"/>
      <c r="G910" s="133"/>
      <c r="H910" s="132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</row>
    <row r="911" ht="15.75" customHeight="1">
      <c r="A911" s="132"/>
      <c r="B911" s="132"/>
      <c r="C911" s="132"/>
      <c r="D911" s="132"/>
      <c r="E911" s="132"/>
      <c r="F911" s="133"/>
      <c r="G911" s="133"/>
      <c r="H911" s="132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</row>
    <row r="912" ht="15.75" customHeight="1">
      <c r="A912" s="132"/>
      <c r="B912" s="132"/>
      <c r="C912" s="132"/>
      <c r="D912" s="132"/>
      <c r="E912" s="132"/>
      <c r="F912" s="133"/>
      <c r="G912" s="133"/>
      <c r="H912" s="132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</row>
    <row r="913" ht="15.75" customHeight="1">
      <c r="A913" s="132"/>
      <c r="B913" s="132"/>
      <c r="C913" s="132"/>
      <c r="D913" s="132"/>
      <c r="E913" s="132"/>
      <c r="F913" s="133"/>
      <c r="G913" s="133"/>
      <c r="H913" s="132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</row>
    <row r="914" ht="15.75" customHeight="1">
      <c r="A914" s="132"/>
      <c r="B914" s="132"/>
      <c r="C914" s="132"/>
      <c r="D914" s="132"/>
      <c r="E914" s="132"/>
      <c r="F914" s="133"/>
      <c r="G914" s="133"/>
      <c r="H914" s="132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</row>
    <row r="915" ht="15.75" customHeight="1">
      <c r="A915" s="132"/>
      <c r="B915" s="132"/>
      <c r="C915" s="132"/>
      <c r="D915" s="132"/>
      <c r="E915" s="132"/>
      <c r="F915" s="133"/>
      <c r="G915" s="133"/>
      <c r="H915" s="132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</row>
    <row r="916" ht="15.75" customHeight="1">
      <c r="A916" s="132"/>
      <c r="B916" s="132"/>
      <c r="C916" s="132"/>
      <c r="D916" s="132"/>
      <c r="E916" s="132"/>
      <c r="F916" s="133"/>
      <c r="G916" s="133"/>
      <c r="H916" s="132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</row>
    <row r="917" ht="15.75" customHeight="1">
      <c r="A917" s="132"/>
      <c r="B917" s="132"/>
      <c r="C917" s="132"/>
      <c r="D917" s="132"/>
      <c r="E917" s="132"/>
      <c r="F917" s="133"/>
      <c r="G917" s="133"/>
      <c r="H917" s="132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</row>
    <row r="918" ht="15.75" customHeight="1">
      <c r="A918" s="132"/>
      <c r="B918" s="132"/>
      <c r="C918" s="132"/>
      <c r="D918" s="132"/>
      <c r="E918" s="132"/>
      <c r="F918" s="133"/>
      <c r="G918" s="133"/>
      <c r="H918" s="132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</row>
    <row r="919" ht="15.75" customHeight="1">
      <c r="A919" s="132"/>
      <c r="B919" s="132"/>
      <c r="C919" s="132"/>
      <c r="D919" s="132"/>
      <c r="E919" s="132"/>
      <c r="F919" s="133"/>
      <c r="G919" s="133"/>
      <c r="H919" s="132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</row>
    <row r="920" ht="15.75" customHeight="1">
      <c r="A920" s="132"/>
      <c r="B920" s="132"/>
      <c r="C920" s="132"/>
      <c r="D920" s="132"/>
      <c r="E920" s="132"/>
      <c r="F920" s="133"/>
      <c r="G920" s="133"/>
      <c r="H920" s="132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</row>
    <row r="921" ht="15.75" customHeight="1">
      <c r="A921" s="132"/>
      <c r="B921" s="132"/>
      <c r="C921" s="132"/>
      <c r="D921" s="132"/>
      <c r="E921" s="132"/>
      <c r="F921" s="133"/>
      <c r="G921" s="133"/>
      <c r="H921" s="132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</row>
    <row r="922" ht="15.75" customHeight="1">
      <c r="A922" s="132"/>
      <c r="B922" s="132"/>
      <c r="C922" s="132"/>
      <c r="D922" s="132"/>
      <c r="E922" s="132"/>
      <c r="F922" s="133"/>
      <c r="G922" s="133"/>
      <c r="H922" s="132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</row>
    <row r="923" ht="15.75" customHeight="1">
      <c r="A923" s="132"/>
      <c r="B923" s="132"/>
      <c r="C923" s="132"/>
      <c r="D923" s="132"/>
      <c r="E923" s="132"/>
      <c r="F923" s="133"/>
      <c r="G923" s="133"/>
      <c r="H923" s="132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</row>
    <row r="924" ht="15.75" customHeight="1">
      <c r="A924" s="132"/>
      <c r="B924" s="132"/>
      <c r="C924" s="132"/>
      <c r="D924" s="132"/>
      <c r="E924" s="132"/>
      <c r="F924" s="133"/>
      <c r="G924" s="133"/>
      <c r="H924" s="132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</row>
    <row r="925" ht="15.75" customHeight="1">
      <c r="A925" s="132"/>
      <c r="B925" s="132"/>
      <c r="C925" s="132"/>
      <c r="D925" s="132"/>
      <c r="E925" s="132"/>
      <c r="F925" s="133"/>
      <c r="G925" s="133"/>
      <c r="H925" s="132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</row>
    <row r="926" ht="15.75" customHeight="1">
      <c r="A926" s="132"/>
      <c r="B926" s="132"/>
      <c r="C926" s="132"/>
      <c r="D926" s="132"/>
      <c r="E926" s="132"/>
      <c r="F926" s="133"/>
      <c r="G926" s="133"/>
      <c r="H926" s="132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</row>
    <row r="927" ht="15.75" customHeight="1">
      <c r="A927" s="132"/>
      <c r="B927" s="132"/>
      <c r="C927" s="132"/>
      <c r="D927" s="132"/>
      <c r="E927" s="132"/>
      <c r="F927" s="133"/>
      <c r="G927" s="133"/>
      <c r="H927" s="132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</row>
    <row r="928" ht="15.75" customHeight="1">
      <c r="A928" s="132"/>
      <c r="B928" s="132"/>
      <c r="C928" s="132"/>
      <c r="D928" s="132"/>
      <c r="E928" s="132"/>
      <c r="F928" s="133"/>
      <c r="G928" s="133"/>
      <c r="H928" s="132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</row>
    <row r="929" ht="15.75" customHeight="1">
      <c r="A929" s="132"/>
      <c r="B929" s="132"/>
      <c r="C929" s="132"/>
      <c r="D929" s="132"/>
      <c r="E929" s="132"/>
      <c r="F929" s="133"/>
      <c r="G929" s="133"/>
      <c r="H929" s="132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</row>
    <row r="930" ht="15.75" customHeight="1">
      <c r="A930" s="132"/>
      <c r="B930" s="132"/>
      <c r="C930" s="132"/>
      <c r="D930" s="132"/>
      <c r="E930" s="132"/>
      <c r="F930" s="133"/>
      <c r="G930" s="133"/>
      <c r="H930" s="132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</row>
    <row r="931" ht="15.75" customHeight="1">
      <c r="A931" s="132"/>
      <c r="B931" s="132"/>
      <c r="C931" s="132"/>
      <c r="D931" s="132"/>
      <c r="E931" s="132"/>
      <c r="F931" s="133"/>
      <c r="G931" s="133"/>
      <c r="H931" s="132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</row>
    <row r="932" ht="15.75" customHeight="1">
      <c r="A932" s="132"/>
      <c r="B932" s="132"/>
      <c r="C932" s="132"/>
      <c r="D932" s="132"/>
      <c r="E932" s="132"/>
      <c r="F932" s="133"/>
      <c r="G932" s="133"/>
      <c r="H932" s="132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</row>
    <row r="933" ht="15.75" customHeight="1">
      <c r="A933" s="132"/>
      <c r="B933" s="132"/>
      <c r="C933" s="132"/>
      <c r="D933" s="132"/>
      <c r="E933" s="132"/>
      <c r="F933" s="133"/>
      <c r="G933" s="133"/>
      <c r="H933" s="132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</row>
    <row r="934" ht="15.75" customHeight="1">
      <c r="A934" s="132"/>
      <c r="B934" s="132"/>
      <c r="C934" s="132"/>
      <c r="D934" s="132"/>
      <c r="E934" s="132"/>
      <c r="F934" s="133"/>
      <c r="G934" s="133"/>
      <c r="H934" s="132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</row>
    <row r="935" ht="15.75" customHeight="1">
      <c r="A935" s="132"/>
      <c r="B935" s="132"/>
      <c r="C935" s="132"/>
      <c r="D935" s="132"/>
      <c r="E935" s="132"/>
      <c r="F935" s="133"/>
      <c r="G935" s="133"/>
      <c r="H935" s="132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</row>
    <row r="936" ht="15.75" customHeight="1">
      <c r="A936" s="132"/>
      <c r="B936" s="132"/>
      <c r="C936" s="132"/>
      <c r="D936" s="132"/>
      <c r="E936" s="132"/>
      <c r="F936" s="133"/>
      <c r="G936" s="133"/>
      <c r="H936" s="132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</row>
    <row r="937" ht="15.75" customHeight="1">
      <c r="A937" s="132"/>
      <c r="B937" s="132"/>
      <c r="C937" s="132"/>
      <c r="D937" s="132"/>
      <c r="E937" s="132"/>
      <c r="F937" s="133"/>
      <c r="G937" s="133"/>
      <c r="H937" s="132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</row>
    <row r="938" ht="15.75" customHeight="1">
      <c r="A938" s="132"/>
      <c r="B938" s="132"/>
      <c r="C938" s="132"/>
      <c r="D938" s="132"/>
      <c r="E938" s="132"/>
      <c r="F938" s="133"/>
      <c r="G938" s="133"/>
      <c r="H938" s="132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</row>
    <row r="939" ht="15.75" customHeight="1">
      <c r="A939" s="132"/>
      <c r="B939" s="132"/>
      <c r="C939" s="132"/>
      <c r="D939" s="132"/>
      <c r="E939" s="132"/>
      <c r="F939" s="133"/>
      <c r="G939" s="133"/>
      <c r="H939" s="132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</row>
    <row r="940" ht="15.75" customHeight="1">
      <c r="A940" s="132"/>
      <c r="B940" s="132"/>
      <c r="C940" s="132"/>
      <c r="D940" s="132"/>
      <c r="E940" s="132"/>
      <c r="F940" s="133"/>
      <c r="G940" s="133"/>
      <c r="H940" s="132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</row>
    <row r="941" ht="15.75" customHeight="1">
      <c r="A941" s="132"/>
      <c r="B941" s="132"/>
      <c r="C941" s="132"/>
      <c r="D941" s="132"/>
      <c r="E941" s="132"/>
      <c r="F941" s="133"/>
      <c r="G941" s="133"/>
      <c r="H941" s="132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</row>
    <row r="942" ht="15.75" customHeight="1">
      <c r="A942" s="132"/>
      <c r="B942" s="132"/>
      <c r="C942" s="132"/>
      <c r="D942" s="132"/>
      <c r="E942" s="132"/>
      <c r="F942" s="133"/>
      <c r="G942" s="133"/>
      <c r="H942" s="132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</row>
    <row r="943" ht="15.75" customHeight="1">
      <c r="A943" s="132"/>
      <c r="B943" s="132"/>
      <c r="C943" s="132"/>
      <c r="D943" s="132"/>
      <c r="E943" s="132"/>
      <c r="F943" s="133"/>
      <c r="G943" s="133"/>
      <c r="H943" s="132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</row>
    <row r="944" ht="15.75" customHeight="1">
      <c r="A944" s="132"/>
      <c r="B944" s="132"/>
      <c r="C944" s="132"/>
      <c r="D944" s="132"/>
      <c r="E944" s="132"/>
      <c r="F944" s="133"/>
      <c r="G944" s="133"/>
      <c r="H944" s="132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</row>
    <row r="945" ht="15.75" customHeight="1">
      <c r="A945" s="132"/>
      <c r="B945" s="132"/>
      <c r="C945" s="132"/>
      <c r="D945" s="132"/>
      <c r="E945" s="132"/>
      <c r="F945" s="133"/>
      <c r="G945" s="133"/>
      <c r="H945" s="132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</row>
    <row r="946" ht="15.75" customHeight="1">
      <c r="A946" s="132"/>
      <c r="B946" s="132"/>
      <c r="C946" s="132"/>
      <c r="D946" s="132"/>
      <c r="E946" s="132"/>
      <c r="F946" s="133"/>
      <c r="G946" s="133"/>
      <c r="H946" s="132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</row>
    <row r="947" ht="15.75" customHeight="1">
      <c r="A947" s="132"/>
      <c r="B947" s="132"/>
      <c r="C947" s="132"/>
      <c r="D947" s="132"/>
      <c r="E947" s="132"/>
      <c r="F947" s="133"/>
      <c r="G947" s="133"/>
      <c r="H947" s="132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</row>
    <row r="948" ht="15.75" customHeight="1">
      <c r="A948" s="132"/>
      <c r="B948" s="132"/>
      <c r="C948" s="132"/>
      <c r="D948" s="132"/>
      <c r="E948" s="132"/>
      <c r="F948" s="133"/>
      <c r="G948" s="133"/>
      <c r="H948" s="132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</row>
    <row r="949" ht="15.75" customHeight="1">
      <c r="A949" s="132"/>
      <c r="B949" s="132"/>
      <c r="C949" s="132"/>
      <c r="D949" s="132"/>
      <c r="E949" s="132"/>
      <c r="F949" s="133"/>
      <c r="G949" s="133"/>
      <c r="H949" s="132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</row>
    <row r="950" ht="15.75" customHeight="1">
      <c r="A950" s="132"/>
      <c r="B950" s="132"/>
      <c r="C950" s="132"/>
      <c r="D950" s="132"/>
      <c r="E950" s="132"/>
      <c r="F950" s="133"/>
      <c r="G950" s="133"/>
      <c r="H950" s="132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</row>
    <row r="951" ht="15.75" customHeight="1">
      <c r="A951" s="132"/>
      <c r="B951" s="132"/>
      <c r="C951" s="132"/>
      <c r="D951" s="132"/>
      <c r="E951" s="132"/>
      <c r="F951" s="133"/>
      <c r="G951" s="133"/>
      <c r="H951" s="132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</row>
    <row r="952" ht="15.75" customHeight="1">
      <c r="A952" s="132"/>
      <c r="B952" s="132"/>
      <c r="C952" s="132"/>
      <c r="D952" s="132"/>
      <c r="E952" s="132"/>
      <c r="F952" s="133"/>
      <c r="G952" s="133"/>
      <c r="H952" s="132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</row>
    <row r="953" ht="15.75" customHeight="1">
      <c r="A953" s="132"/>
      <c r="B953" s="132"/>
      <c r="C953" s="132"/>
      <c r="D953" s="132"/>
      <c r="E953" s="132"/>
      <c r="F953" s="133"/>
      <c r="G953" s="133"/>
      <c r="H953" s="132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</row>
    <row r="954" ht="15.75" customHeight="1">
      <c r="A954" s="132"/>
      <c r="B954" s="132"/>
      <c r="C954" s="132"/>
      <c r="D954" s="132"/>
      <c r="E954" s="132"/>
      <c r="F954" s="133"/>
      <c r="G954" s="133"/>
      <c r="H954" s="132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</row>
    <row r="955" ht="15.75" customHeight="1">
      <c r="A955" s="132"/>
      <c r="B955" s="132"/>
      <c r="C955" s="132"/>
      <c r="D955" s="132"/>
      <c r="E955" s="132"/>
      <c r="F955" s="133"/>
      <c r="G955" s="133"/>
      <c r="H955" s="132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</row>
    <row r="956" ht="15.75" customHeight="1">
      <c r="A956" s="132"/>
      <c r="B956" s="132"/>
      <c r="C956" s="132"/>
      <c r="D956" s="132"/>
      <c r="E956" s="132"/>
      <c r="F956" s="133"/>
      <c r="G956" s="133"/>
      <c r="H956" s="132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</row>
    <row r="957" ht="15.75" customHeight="1">
      <c r="A957" s="132"/>
      <c r="B957" s="132"/>
      <c r="C957" s="132"/>
      <c r="D957" s="132"/>
      <c r="E957" s="132"/>
      <c r="F957" s="133"/>
      <c r="G957" s="133"/>
      <c r="H957" s="132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</row>
    <row r="958" ht="15.75" customHeight="1">
      <c r="A958" s="132"/>
      <c r="B958" s="132"/>
      <c r="C958" s="132"/>
      <c r="D958" s="132"/>
      <c r="E958" s="132"/>
      <c r="F958" s="133"/>
      <c r="G958" s="133"/>
      <c r="H958" s="132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</row>
    <row r="959" ht="15.75" customHeight="1">
      <c r="A959" s="132"/>
      <c r="B959" s="132"/>
      <c r="C959" s="132"/>
      <c r="D959" s="132"/>
      <c r="E959" s="132"/>
      <c r="F959" s="133"/>
      <c r="G959" s="133"/>
      <c r="H959" s="132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</row>
    <row r="960" ht="15.75" customHeight="1">
      <c r="A960" s="132"/>
      <c r="B960" s="132"/>
      <c r="C960" s="132"/>
      <c r="D960" s="132"/>
      <c r="E960" s="132"/>
      <c r="F960" s="133"/>
      <c r="G960" s="133"/>
      <c r="H960" s="132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</row>
    <row r="961" ht="15.75" customHeight="1">
      <c r="A961" s="132"/>
      <c r="B961" s="132"/>
      <c r="C961" s="132"/>
      <c r="D961" s="132"/>
      <c r="E961" s="132"/>
      <c r="F961" s="133"/>
      <c r="G961" s="133"/>
      <c r="H961" s="132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</row>
    <row r="962" ht="15.75" customHeight="1">
      <c r="A962" s="132"/>
      <c r="B962" s="132"/>
      <c r="C962" s="132"/>
      <c r="D962" s="132"/>
      <c r="E962" s="132"/>
      <c r="F962" s="133"/>
      <c r="G962" s="133"/>
      <c r="H962" s="132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</row>
    <row r="963" ht="15.75" customHeight="1">
      <c r="A963" s="132"/>
      <c r="B963" s="132"/>
      <c r="C963" s="132"/>
      <c r="D963" s="132"/>
      <c r="E963" s="132"/>
      <c r="F963" s="133"/>
      <c r="G963" s="133"/>
      <c r="H963" s="132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</row>
    <row r="964" ht="15.75" customHeight="1">
      <c r="A964" s="132"/>
      <c r="B964" s="132"/>
      <c r="C964" s="132"/>
      <c r="D964" s="132"/>
      <c r="E964" s="132"/>
      <c r="F964" s="133"/>
      <c r="G964" s="133"/>
      <c r="H964" s="132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</row>
    <row r="965" ht="15.75" customHeight="1">
      <c r="A965" s="132"/>
      <c r="B965" s="132"/>
      <c r="C965" s="132"/>
      <c r="D965" s="132"/>
      <c r="E965" s="132"/>
      <c r="F965" s="133"/>
      <c r="G965" s="133"/>
      <c r="H965" s="132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</row>
    <row r="966" ht="15.75" customHeight="1">
      <c r="A966" s="132"/>
      <c r="B966" s="132"/>
      <c r="C966" s="132"/>
      <c r="D966" s="132"/>
      <c r="E966" s="132"/>
      <c r="F966" s="133"/>
      <c r="G966" s="133"/>
      <c r="H966" s="132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</row>
    <row r="967" ht="15.75" customHeight="1">
      <c r="A967" s="132"/>
      <c r="B967" s="132"/>
      <c r="C967" s="132"/>
      <c r="D967" s="132"/>
      <c r="E967" s="132"/>
      <c r="F967" s="133"/>
      <c r="G967" s="133"/>
      <c r="H967" s="132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</row>
    <row r="968" ht="15.75" customHeight="1">
      <c r="A968" s="132"/>
      <c r="B968" s="132"/>
      <c r="C968" s="132"/>
      <c r="D968" s="132"/>
      <c r="E968" s="132"/>
      <c r="F968" s="133"/>
      <c r="G968" s="133"/>
      <c r="H968" s="132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</row>
    <row r="969" ht="15.75" customHeight="1">
      <c r="A969" s="132"/>
      <c r="B969" s="132"/>
      <c r="C969" s="132"/>
      <c r="D969" s="132"/>
      <c r="E969" s="132"/>
      <c r="F969" s="133"/>
      <c r="G969" s="133"/>
      <c r="H969" s="132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</row>
    <row r="970" ht="15.75" customHeight="1">
      <c r="A970" s="132"/>
      <c r="B970" s="132"/>
      <c r="C970" s="132"/>
      <c r="D970" s="132"/>
      <c r="E970" s="132"/>
      <c r="F970" s="133"/>
      <c r="G970" s="133"/>
      <c r="H970" s="132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</row>
    <row r="971" ht="15.75" customHeight="1">
      <c r="A971" s="132"/>
      <c r="B971" s="132"/>
      <c r="C971" s="132"/>
      <c r="D971" s="132"/>
      <c r="E971" s="132"/>
      <c r="F971" s="133"/>
      <c r="G971" s="133"/>
      <c r="H971" s="132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</row>
    <row r="972" ht="15.75" customHeight="1">
      <c r="A972" s="132"/>
      <c r="B972" s="132"/>
      <c r="C972" s="132"/>
      <c r="D972" s="132"/>
      <c r="E972" s="132"/>
      <c r="F972" s="133"/>
      <c r="G972" s="133"/>
      <c r="H972" s="132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</row>
    <row r="973" ht="15.75" customHeight="1">
      <c r="A973" s="132"/>
      <c r="B973" s="132"/>
      <c r="C973" s="132"/>
      <c r="D973" s="132"/>
      <c r="E973" s="132"/>
      <c r="F973" s="133"/>
      <c r="G973" s="133"/>
      <c r="H973" s="132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</row>
    <row r="974" ht="15.75" customHeight="1">
      <c r="A974" s="132"/>
      <c r="B974" s="132"/>
      <c r="C974" s="132"/>
      <c r="D974" s="132"/>
      <c r="E974" s="132"/>
      <c r="F974" s="133"/>
      <c r="G974" s="133"/>
      <c r="H974" s="132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</row>
    <row r="975" ht="15.75" customHeight="1">
      <c r="A975" s="132"/>
      <c r="B975" s="132"/>
      <c r="C975" s="132"/>
      <c r="D975" s="132"/>
      <c r="E975" s="132"/>
      <c r="F975" s="133"/>
      <c r="G975" s="133"/>
      <c r="H975" s="132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</row>
    <row r="976" ht="15.75" customHeight="1">
      <c r="A976" s="132"/>
      <c r="B976" s="132"/>
      <c r="C976" s="132"/>
      <c r="D976" s="132"/>
      <c r="E976" s="132"/>
      <c r="F976" s="133"/>
      <c r="G976" s="133"/>
      <c r="H976" s="132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</row>
    <row r="977" ht="15.75" customHeight="1">
      <c r="A977" s="132"/>
      <c r="B977" s="132"/>
      <c r="C977" s="132"/>
      <c r="D977" s="132"/>
      <c r="E977" s="132"/>
      <c r="F977" s="133"/>
      <c r="G977" s="133"/>
      <c r="H977" s="132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</row>
    <row r="978" ht="15.75" customHeight="1">
      <c r="A978" s="132"/>
      <c r="B978" s="132"/>
      <c r="C978" s="132"/>
      <c r="D978" s="132"/>
      <c r="E978" s="132"/>
      <c r="F978" s="133"/>
      <c r="G978" s="133"/>
      <c r="H978" s="132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</row>
    <row r="979" ht="15.75" customHeight="1">
      <c r="A979" s="132"/>
      <c r="B979" s="132"/>
      <c r="C979" s="132"/>
      <c r="D979" s="132"/>
      <c r="E979" s="132"/>
      <c r="F979" s="133"/>
      <c r="G979" s="133"/>
      <c r="H979" s="132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</row>
    <row r="980" ht="15.75" customHeight="1">
      <c r="A980" s="132"/>
      <c r="B980" s="132"/>
      <c r="C980" s="132"/>
      <c r="D980" s="132"/>
      <c r="E980" s="132"/>
      <c r="F980" s="133"/>
      <c r="G980" s="133"/>
      <c r="H980" s="132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</row>
    <row r="981" ht="15.75" customHeight="1">
      <c r="A981" s="132"/>
      <c r="B981" s="132"/>
      <c r="C981" s="132"/>
      <c r="D981" s="132"/>
      <c r="E981" s="132"/>
      <c r="F981" s="133"/>
      <c r="G981" s="133"/>
      <c r="H981" s="132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</row>
    <row r="982" ht="15.75" customHeight="1">
      <c r="A982" s="132"/>
      <c r="B982" s="132"/>
      <c r="C982" s="132"/>
      <c r="D982" s="132"/>
      <c r="E982" s="132"/>
      <c r="F982" s="133"/>
      <c r="G982" s="133"/>
      <c r="H982" s="132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</row>
    <row r="983" ht="15.75" customHeight="1">
      <c r="A983" s="132"/>
      <c r="B983" s="132"/>
      <c r="C983" s="132"/>
      <c r="D983" s="132"/>
      <c r="E983" s="132"/>
      <c r="F983" s="133"/>
      <c r="G983" s="133"/>
      <c r="H983" s="132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</row>
    <row r="984" ht="15.75" customHeight="1">
      <c r="A984" s="132"/>
      <c r="B984" s="132"/>
      <c r="C984" s="132"/>
      <c r="D984" s="132"/>
      <c r="E984" s="132"/>
      <c r="F984" s="133"/>
      <c r="G984" s="133"/>
      <c r="H984" s="132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</row>
    <row r="985" ht="15.75" customHeight="1">
      <c r="A985" s="132"/>
      <c r="B985" s="132"/>
      <c r="C985" s="132"/>
      <c r="D985" s="132"/>
      <c r="E985" s="132"/>
      <c r="F985" s="133"/>
      <c r="G985" s="133"/>
      <c r="H985" s="132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</row>
    <row r="986" ht="15.75" customHeight="1">
      <c r="A986" s="132"/>
      <c r="B986" s="132"/>
      <c r="C986" s="132"/>
      <c r="D986" s="132"/>
      <c r="E986" s="132"/>
      <c r="F986" s="133"/>
      <c r="G986" s="133"/>
      <c r="H986" s="132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</row>
    <row r="987" ht="15.75" customHeight="1">
      <c r="A987" s="132"/>
      <c r="B987" s="132"/>
      <c r="C987" s="132"/>
      <c r="D987" s="132"/>
      <c r="E987" s="132"/>
      <c r="F987" s="133"/>
      <c r="G987" s="133"/>
      <c r="H987" s="132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</row>
    <row r="988" ht="15.75" customHeight="1">
      <c r="A988" s="132"/>
      <c r="B988" s="132"/>
      <c r="C988" s="132"/>
      <c r="D988" s="132"/>
      <c r="E988" s="132"/>
      <c r="F988" s="133"/>
      <c r="G988" s="133"/>
      <c r="H988" s="132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</row>
    <row r="989" ht="15.75" customHeight="1">
      <c r="A989" s="132"/>
      <c r="B989" s="132"/>
      <c r="C989" s="132"/>
      <c r="D989" s="132"/>
      <c r="E989" s="132"/>
      <c r="F989" s="133"/>
      <c r="G989" s="133"/>
      <c r="H989" s="132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</row>
    <row r="990" ht="15.75" customHeight="1">
      <c r="A990" s="132"/>
      <c r="B990" s="132"/>
      <c r="C990" s="132"/>
      <c r="D990" s="132"/>
      <c r="E990" s="132"/>
      <c r="F990" s="133"/>
      <c r="G990" s="133"/>
      <c r="H990" s="132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</row>
    <row r="991" ht="15.75" customHeight="1">
      <c r="A991" s="132"/>
      <c r="B991" s="132"/>
      <c r="C991" s="132"/>
      <c r="D991" s="132"/>
      <c r="E991" s="132"/>
      <c r="F991" s="133"/>
      <c r="G991" s="133"/>
      <c r="H991" s="132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</row>
  </sheetData>
  <mergeCells count="701">
    <mergeCell ref="A24:A27"/>
    <mergeCell ref="B24:B27"/>
    <mergeCell ref="C24:C27"/>
    <mergeCell ref="E24:E27"/>
    <mergeCell ref="F24:F27"/>
    <mergeCell ref="G24:G27"/>
    <mergeCell ref="H24:H27"/>
    <mergeCell ref="A28:A31"/>
    <mergeCell ref="B28:B31"/>
    <mergeCell ref="C28:C31"/>
    <mergeCell ref="E28:E31"/>
    <mergeCell ref="F28:F31"/>
    <mergeCell ref="G28:G31"/>
    <mergeCell ref="H28:H31"/>
    <mergeCell ref="A32:A38"/>
    <mergeCell ref="B32:B38"/>
    <mergeCell ref="C32:C38"/>
    <mergeCell ref="E32:E38"/>
    <mergeCell ref="F32:F38"/>
    <mergeCell ref="G32:G38"/>
    <mergeCell ref="H32:H38"/>
    <mergeCell ref="A39:A41"/>
    <mergeCell ref="B39:B41"/>
    <mergeCell ref="C39:C41"/>
    <mergeCell ref="E39:E41"/>
    <mergeCell ref="F39:F41"/>
    <mergeCell ref="G39:G41"/>
    <mergeCell ref="H39:H41"/>
    <mergeCell ref="A55:A58"/>
    <mergeCell ref="B55:B58"/>
    <mergeCell ref="C55:C58"/>
    <mergeCell ref="E55:E58"/>
    <mergeCell ref="F55:F58"/>
    <mergeCell ref="G55:G58"/>
    <mergeCell ref="H55:H58"/>
    <mergeCell ref="A59:A61"/>
    <mergeCell ref="B59:B61"/>
    <mergeCell ref="C59:C61"/>
    <mergeCell ref="E59:E61"/>
    <mergeCell ref="F59:F61"/>
    <mergeCell ref="G59:G61"/>
    <mergeCell ref="H59:H61"/>
    <mergeCell ref="A63:A68"/>
    <mergeCell ref="B63:B68"/>
    <mergeCell ref="C63:C68"/>
    <mergeCell ref="E63:E68"/>
    <mergeCell ref="F63:F68"/>
    <mergeCell ref="G63:G68"/>
    <mergeCell ref="H63:H68"/>
    <mergeCell ref="A69:A74"/>
    <mergeCell ref="B69:B74"/>
    <mergeCell ref="C69:C74"/>
    <mergeCell ref="E69:E74"/>
    <mergeCell ref="F69:F74"/>
    <mergeCell ref="G69:G74"/>
    <mergeCell ref="H69:H74"/>
    <mergeCell ref="A75:A78"/>
    <mergeCell ref="B75:B78"/>
    <mergeCell ref="C75:C78"/>
    <mergeCell ref="E75:E78"/>
    <mergeCell ref="F75:F78"/>
    <mergeCell ref="G75:G78"/>
    <mergeCell ref="H75:H78"/>
    <mergeCell ref="A79:A81"/>
    <mergeCell ref="B79:B81"/>
    <mergeCell ref="C79:C81"/>
    <mergeCell ref="E79:E81"/>
    <mergeCell ref="F79:F81"/>
    <mergeCell ref="G79:G81"/>
    <mergeCell ref="H79:H81"/>
    <mergeCell ref="A82:A86"/>
    <mergeCell ref="B82:B86"/>
    <mergeCell ref="C82:C86"/>
    <mergeCell ref="E82:E86"/>
    <mergeCell ref="F82:F86"/>
    <mergeCell ref="G82:G86"/>
    <mergeCell ref="H82:H86"/>
    <mergeCell ref="A87:A91"/>
    <mergeCell ref="B87:B91"/>
    <mergeCell ref="C87:C91"/>
    <mergeCell ref="E87:E91"/>
    <mergeCell ref="F87:F91"/>
    <mergeCell ref="G87:G91"/>
    <mergeCell ref="H87:H91"/>
    <mergeCell ref="A92:A94"/>
    <mergeCell ref="B92:B94"/>
    <mergeCell ref="C92:C94"/>
    <mergeCell ref="E92:E94"/>
    <mergeCell ref="F92:F94"/>
    <mergeCell ref="G92:G94"/>
    <mergeCell ref="H92:H94"/>
    <mergeCell ref="A95:A99"/>
    <mergeCell ref="B95:B99"/>
    <mergeCell ref="C95:C99"/>
    <mergeCell ref="E95:E99"/>
    <mergeCell ref="F95:F99"/>
    <mergeCell ref="G95:G99"/>
    <mergeCell ref="H95:H99"/>
    <mergeCell ref="A100:A102"/>
    <mergeCell ref="B100:B102"/>
    <mergeCell ref="C100:C102"/>
    <mergeCell ref="E100:E102"/>
    <mergeCell ref="F100:F102"/>
    <mergeCell ref="G100:G102"/>
    <mergeCell ref="H100:H102"/>
    <mergeCell ref="A103:A104"/>
    <mergeCell ref="B103:B104"/>
    <mergeCell ref="C103:C104"/>
    <mergeCell ref="E103:E104"/>
    <mergeCell ref="F103:F104"/>
    <mergeCell ref="G103:G104"/>
    <mergeCell ref="H103:H104"/>
    <mergeCell ref="A105:A108"/>
    <mergeCell ref="B105:B108"/>
    <mergeCell ref="C105:C108"/>
    <mergeCell ref="E105:E108"/>
    <mergeCell ref="F105:F108"/>
    <mergeCell ref="G105:G108"/>
    <mergeCell ref="H105:H108"/>
    <mergeCell ref="A109:A111"/>
    <mergeCell ref="B109:B111"/>
    <mergeCell ref="C109:C111"/>
    <mergeCell ref="E109:E111"/>
    <mergeCell ref="F109:F111"/>
    <mergeCell ref="G109:G111"/>
    <mergeCell ref="H109:H111"/>
    <mergeCell ref="A112:A115"/>
    <mergeCell ref="B112:B115"/>
    <mergeCell ref="C112:C115"/>
    <mergeCell ref="E112:E115"/>
    <mergeCell ref="F112:F115"/>
    <mergeCell ref="G112:G115"/>
    <mergeCell ref="H112:H115"/>
    <mergeCell ref="A116:A119"/>
    <mergeCell ref="B116:B119"/>
    <mergeCell ref="C116:C119"/>
    <mergeCell ref="E116:E119"/>
    <mergeCell ref="F116:F119"/>
    <mergeCell ref="G116:G119"/>
    <mergeCell ref="H116:H119"/>
    <mergeCell ref="A120:A122"/>
    <mergeCell ref="B120:B122"/>
    <mergeCell ref="C120:C122"/>
    <mergeCell ref="E120:E122"/>
    <mergeCell ref="F120:F122"/>
    <mergeCell ref="G120:G122"/>
    <mergeCell ref="H120:H122"/>
    <mergeCell ref="A123:A125"/>
    <mergeCell ref="B123:B125"/>
    <mergeCell ref="C123:C125"/>
    <mergeCell ref="E123:E125"/>
    <mergeCell ref="F123:F125"/>
    <mergeCell ref="G123:G125"/>
    <mergeCell ref="H123:H125"/>
    <mergeCell ref="A126:A127"/>
    <mergeCell ref="B126:B127"/>
    <mergeCell ref="C126:C127"/>
    <mergeCell ref="E126:E127"/>
    <mergeCell ref="F126:F127"/>
    <mergeCell ref="G126:G127"/>
    <mergeCell ref="H126:H127"/>
    <mergeCell ref="A128:A130"/>
    <mergeCell ref="B128:B130"/>
    <mergeCell ref="C128:C130"/>
    <mergeCell ref="E128:E130"/>
    <mergeCell ref="F128:F130"/>
    <mergeCell ref="G128:G130"/>
    <mergeCell ref="H128:H130"/>
    <mergeCell ref="A131:A136"/>
    <mergeCell ref="B131:B136"/>
    <mergeCell ref="C131:C136"/>
    <mergeCell ref="E131:E136"/>
    <mergeCell ref="F131:F136"/>
    <mergeCell ref="G131:G136"/>
    <mergeCell ref="H131:H136"/>
    <mergeCell ref="A137:A139"/>
    <mergeCell ref="B137:B139"/>
    <mergeCell ref="C137:C139"/>
    <mergeCell ref="E137:E139"/>
    <mergeCell ref="F137:F139"/>
    <mergeCell ref="G137:G139"/>
    <mergeCell ref="H137:H139"/>
    <mergeCell ref="A140:A143"/>
    <mergeCell ref="B140:B143"/>
    <mergeCell ref="C140:C143"/>
    <mergeCell ref="E140:E143"/>
    <mergeCell ref="F140:F143"/>
    <mergeCell ref="G140:G143"/>
    <mergeCell ref="H140:H143"/>
    <mergeCell ref="A144:A148"/>
    <mergeCell ref="B144:B148"/>
    <mergeCell ref="C144:C148"/>
    <mergeCell ref="E144:E148"/>
    <mergeCell ref="F144:F148"/>
    <mergeCell ref="G144:G148"/>
    <mergeCell ref="H144:H148"/>
    <mergeCell ref="A42:A47"/>
    <mergeCell ref="B42:B47"/>
    <mergeCell ref="C42:C47"/>
    <mergeCell ref="E42:E47"/>
    <mergeCell ref="F42:F47"/>
    <mergeCell ref="G42:G47"/>
    <mergeCell ref="H42:H47"/>
    <mergeCell ref="A48:A54"/>
    <mergeCell ref="B48:B54"/>
    <mergeCell ref="C48:C54"/>
    <mergeCell ref="E48:E54"/>
    <mergeCell ref="F48:F54"/>
    <mergeCell ref="G48:G54"/>
    <mergeCell ref="H48:H54"/>
    <mergeCell ref="A164:A166"/>
    <mergeCell ref="B164:B166"/>
    <mergeCell ref="C164:C166"/>
    <mergeCell ref="E164:E166"/>
    <mergeCell ref="F164:F166"/>
    <mergeCell ref="G164:G166"/>
    <mergeCell ref="H164:H166"/>
    <mergeCell ref="A167:A171"/>
    <mergeCell ref="B167:B171"/>
    <mergeCell ref="C167:C171"/>
    <mergeCell ref="E167:E171"/>
    <mergeCell ref="F167:F171"/>
    <mergeCell ref="G167:G171"/>
    <mergeCell ref="H167:H171"/>
    <mergeCell ref="A172:A175"/>
    <mergeCell ref="B172:B175"/>
    <mergeCell ref="C172:C175"/>
    <mergeCell ref="E172:E175"/>
    <mergeCell ref="F172:F175"/>
    <mergeCell ref="G172:G175"/>
    <mergeCell ref="H172:H175"/>
    <mergeCell ref="A176:A179"/>
    <mergeCell ref="B176:B179"/>
    <mergeCell ref="C176:C179"/>
    <mergeCell ref="E176:E179"/>
    <mergeCell ref="F176:F179"/>
    <mergeCell ref="G176:G179"/>
    <mergeCell ref="H176:H179"/>
    <mergeCell ref="A180:A185"/>
    <mergeCell ref="B180:B185"/>
    <mergeCell ref="C180:C185"/>
    <mergeCell ref="E180:E185"/>
    <mergeCell ref="F180:F185"/>
    <mergeCell ref="G180:G185"/>
    <mergeCell ref="H180:H185"/>
    <mergeCell ref="A186:A188"/>
    <mergeCell ref="B186:B188"/>
    <mergeCell ref="C186:C188"/>
    <mergeCell ref="E186:E188"/>
    <mergeCell ref="F186:F188"/>
    <mergeCell ref="G186:G188"/>
    <mergeCell ref="H186:H188"/>
    <mergeCell ref="A189:A191"/>
    <mergeCell ref="B189:B191"/>
    <mergeCell ref="C189:C191"/>
    <mergeCell ref="E189:E191"/>
    <mergeCell ref="F189:F191"/>
    <mergeCell ref="G189:G191"/>
    <mergeCell ref="H189:H191"/>
    <mergeCell ref="A192:A194"/>
    <mergeCell ref="B192:B194"/>
    <mergeCell ref="C192:C194"/>
    <mergeCell ref="E192:E194"/>
    <mergeCell ref="F192:F194"/>
    <mergeCell ref="G192:G194"/>
    <mergeCell ref="H192:H194"/>
    <mergeCell ref="A195:A197"/>
    <mergeCell ref="B195:B197"/>
    <mergeCell ref="C195:C197"/>
    <mergeCell ref="E195:E197"/>
    <mergeCell ref="F195:F197"/>
    <mergeCell ref="G195:G197"/>
    <mergeCell ref="H195:H197"/>
    <mergeCell ref="A198:A204"/>
    <mergeCell ref="B198:B204"/>
    <mergeCell ref="C198:C204"/>
    <mergeCell ref="E198:E204"/>
    <mergeCell ref="F198:F204"/>
    <mergeCell ref="G198:G204"/>
    <mergeCell ref="H198:H204"/>
    <mergeCell ref="A205:A207"/>
    <mergeCell ref="B205:B207"/>
    <mergeCell ref="C205:C207"/>
    <mergeCell ref="E205:E207"/>
    <mergeCell ref="F205:F207"/>
    <mergeCell ref="G205:G207"/>
    <mergeCell ref="H205:H207"/>
    <mergeCell ref="A208:A212"/>
    <mergeCell ref="B208:B212"/>
    <mergeCell ref="C208:C212"/>
    <mergeCell ref="E208:E212"/>
    <mergeCell ref="F208:F212"/>
    <mergeCell ref="G208:G212"/>
    <mergeCell ref="H208:H212"/>
    <mergeCell ref="A213:A215"/>
    <mergeCell ref="B213:B215"/>
    <mergeCell ref="C213:C215"/>
    <mergeCell ref="E213:E215"/>
    <mergeCell ref="F213:F215"/>
    <mergeCell ref="G213:G215"/>
    <mergeCell ref="H213:H215"/>
    <mergeCell ref="A216:A218"/>
    <mergeCell ref="B216:B218"/>
    <mergeCell ref="C216:C218"/>
    <mergeCell ref="E216:E218"/>
    <mergeCell ref="F216:F218"/>
    <mergeCell ref="G216:G218"/>
    <mergeCell ref="H216:H218"/>
    <mergeCell ref="A219:A221"/>
    <mergeCell ref="B219:B221"/>
    <mergeCell ref="C219:C221"/>
    <mergeCell ref="E219:E221"/>
    <mergeCell ref="F219:F221"/>
    <mergeCell ref="G219:G221"/>
    <mergeCell ref="H219:H221"/>
    <mergeCell ref="A222:A224"/>
    <mergeCell ref="B222:B224"/>
    <mergeCell ref="C222:C224"/>
    <mergeCell ref="E222:E224"/>
    <mergeCell ref="F222:F224"/>
    <mergeCell ref="G222:G224"/>
    <mergeCell ref="H222:H224"/>
    <mergeCell ref="A225:A229"/>
    <mergeCell ref="B225:B229"/>
    <mergeCell ref="C225:C229"/>
    <mergeCell ref="E225:E229"/>
    <mergeCell ref="F225:F229"/>
    <mergeCell ref="G225:G229"/>
    <mergeCell ref="H225:H229"/>
    <mergeCell ref="A230:A232"/>
    <mergeCell ref="B230:B232"/>
    <mergeCell ref="C230:C232"/>
    <mergeCell ref="E230:E232"/>
    <mergeCell ref="F230:F232"/>
    <mergeCell ref="G230:G232"/>
    <mergeCell ref="H230:H232"/>
    <mergeCell ref="A233:A234"/>
    <mergeCell ref="B233:B234"/>
    <mergeCell ref="C233:C234"/>
    <mergeCell ref="E233:E234"/>
    <mergeCell ref="F233:F234"/>
    <mergeCell ref="G233:G234"/>
    <mergeCell ref="H233:H234"/>
    <mergeCell ref="A235:A236"/>
    <mergeCell ref="B235:B236"/>
    <mergeCell ref="C235:C236"/>
    <mergeCell ref="E235:E236"/>
    <mergeCell ref="F235:F236"/>
    <mergeCell ref="G235:G236"/>
    <mergeCell ref="H235:H236"/>
    <mergeCell ref="A237:A243"/>
    <mergeCell ref="B237:B243"/>
    <mergeCell ref="C237:C243"/>
    <mergeCell ref="E237:E243"/>
    <mergeCell ref="F237:F243"/>
    <mergeCell ref="G237:G243"/>
    <mergeCell ref="H237:H243"/>
    <mergeCell ref="A244:A248"/>
    <mergeCell ref="B244:B248"/>
    <mergeCell ref="C244:C248"/>
    <mergeCell ref="E244:E248"/>
    <mergeCell ref="F244:F248"/>
    <mergeCell ref="G244:G248"/>
    <mergeCell ref="H244:H248"/>
    <mergeCell ref="A249:A251"/>
    <mergeCell ref="B249:B251"/>
    <mergeCell ref="C249:C251"/>
    <mergeCell ref="E249:E251"/>
    <mergeCell ref="F249:F251"/>
    <mergeCell ref="G249:G251"/>
    <mergeCell ref="H249:H251"/>
    <mergeCell ref="A252:A254"/>
    <mergeCell ref="B252:B254"/>
    <mergeCell ref="C252:C254"/>
    <mergeCell ref="E252:E254"/>
    <mergeCell ref="F252:F254"/>
    <mergeCell ref="G252:G254"/>
    <mergeCell ref="H252:H254"/>
    <mergeCell ref="A255:A257"/>
    <mergeCell ref="B255:B257"/>
    <mergeCell ref="C255:C257"/>
    <mergeCell ref="E255:E257"/>
    <mergeCell ref="F255:F257"/>
    <mergeCell ref="G255:G257"/>
    <mergeCell ref="H255:H257"/>
    <mergeCell ref="A258:A260"/>
    <mergeCell ref="B258:B260"/>
    <mergeCell ref="C258:C260"/>
    <mergeCell ref="E258:E260"/>
    <mergeCell ref="F258:F260"/>
    <mergeCell ref="G258:G260"/>
    <mergeCell ref="H258:H260"/>
    <mergeCell ref="A149:A160"/>
    <mergeCell ref="B149:B160"/>
    <mergeCell ref="C149:C160"/>
    <mergeCell ref="E149:E160"/>
    <mergeCell ref="F149:F160"/>
    <mergeCell ref="G149:G160"/>
    <mergeCell ref="H149:H160"/>
    <mergeCell ref="A161:A163"/>
    <mergeCell ref="B161:B163"/>
    <mergeCell ref="C161:C163"/>
    <mergeCell ref="E161:E163"/>
    <mergeCell ref="F161:F163"/>
    <mergeCell ref="G161:G163"/>
    <mergeCell ref="H161:H163"/>
    <mergeCell ref="A261:A264"/>
    <mergeCell ref="B261:B264"/>
    <mergeCell ref="C261:C264"/>
    <mergeCell ref="E261:E264"/>
    <mergeCell ref="F261:F264"/>
    <mergeCell ref="G261:G264"/>
    <mergeCell ref="H261:H264"/>
    <mergeCell ref="A265:A268"/>
    <mergeCell ref="B265:B268"/>
    <mergeCell ref="C265:C268"/>
    <mergeCell ref="E265:E268"/>
    <mergeCell ref="F265:F268"/>
    <mergeCell ref="G265:G268"/>
    <mergeCell ref="H265:H268"/>
    <mergeCell ref="B269:B273"/>
    <mergeCell ref="C269:C273"/>
    <mergeCell ref="D269:D270"/>
    <mergeCell ref="E269:E273"/>
    <mergeCell ref="F269:F273"/>
    <mergeCell ref="G269:G273"/>
    <mergeCell ref="H269:H273"/>
    <mergeCell ref="A269:A273"/>
    <mergeCell ref="B274:B278"/>
    <mergeCell ref="C274:C278"/>
    <mergeCell ref="E274:E278"/>
    <mergeCell ref="F274:F278"/>
    <mergeCell ref="G274:G278"/>
    <mergeCell ref="H274:H278"/>
    <mergeCell ref="A274:A278"/>
    <mergeCell ref="B279:B285"/>
    <mergeCell ref="C279:C285"/>
    <mergeCell ref="E279:E285"/>
    <mergeCell ref="F279:F285"/>
    <mergeCell ref="G279:G285"/>
    <mergeCell ref="H279:H285"/>
    <mergeCell ref="A279:A285"/>
    <mergeCell ref="B286:B288"/>
    <mergeCell ref="C286:C288"/>
    <mergeCell ref="E286:E288"/>
    <mergeCell ref="F286:F288"/>
    <mergeCell ref="G286:G288"/>
    <mergeCell ref="H286:H288"/>
    <mergeCell ref="A286:A288"/>
    <mergeCell ref="B289:B293"/>
    <mergeCell ref="C289:C293"/>
    <mergeCell ref="E289:E293"/>
    <mergeCell ref="F289:F293"/>
    <mergeCell ref="G289:G293"/>
    <mergeCell ref="H289:H293"/>
    <mergeCell ref="A289:A293"/>
    <mergeCell ref="B294:B297"/>
    <mergeCell ref="C294:C297"/>
    <mergeCell ref="E294:E297"/>
    <mergeCell ref="F294:F297"/>
    <mergeCell ref="G294:G297"/>
    <mergeCell ref="H294:H297"/>
    <mergeCell ref="A294:A297"/>
    <mergeCell ref="B298:B303"/>
    <mergeCell ref="C298:C303"/>
    <mergeCell ref="E298:E303"/>
    <mergeCell ref="F298:F303"/>
    <mergeCell ref="G298:G303"/>
    <mergeCell ref="H298:H303"/>
    <mergeCell ref="A298:A303"/>
    <mergeCell ref="B304:B306"/>
    <mergeCell ref="C304:C306"/>
    <mergeCell ref="E304:E306"/>
    <mergeCell ref="F304:F306"/>
    <mergeCell ref="G304:G306"/>
    <mergeCell ref="H304:H306"/>
    <mergeCell ref="A304:A306"/>
    <mergeCell ref="B307:B309"/>
    <mergeCell ref="C307:C309"/>
    <mergeCell ref="E307:E309"/>
    <mergeCell ref="F307:F309"/>
    <mergeCell ref="G307:G309"/>
    <mergeCell ref="H307:H309"/>
    <mergeCell ref="A307:A309"/>
    <mergeCell ref="B310:B315"/>
    <mergeCell ref="C310:C315"/>
    <mergeCell ref="E310:E315"/>
    <mergeCell ref="F310:F315"/>
    <mergeCell ref="G310:G315"/>
    <mergeCell ref="H310:H315"/>
    <mergeCell ref="A316:A327"/>
    <mergeCell ref="A328:A330"/>
    <mergeCell ref="B328:B330"/>
    <mergeCell ref="C328:C330"/>
    <mergeCell ref="G328:G330"/>
    <mergeCell ref="H328:H330"/>
    <mergeCell ref="A310:A315"/>
    <mergeCell ref="B316:B327"/>
    <mergeCell ref="C316:C327"/>
    <mergeCell ref="E316:E327"/>
    <mergeCell ref="F316:F327"/>
    <mergeCell ref="G316:G327"/>
    <mergeCell ref="H316:H327"/>
    <mergeCell ref="A375:A378"/>
    <mergeCell ref="B375:B378"/>
    <mergeCell ref="C375:C378"/>
    <mergeCell ref="E375:E378"/>
    <mergeCell ref="F375:F378"/>
    <mergeCell ref="G375:G378"/>
    <mergeCell ref="H375:H378"/>
    <mergeCell ref="A379:A384"/>
    <mergeCell ref="B379:B384"/>
    <mergeCell ref="C379:C384"/>
    <mergeCell ref="E379:E384"/>
    <mergeCell ref="F379:F384"/>
    <mergeCell ref="G379:G384"/>
    <mergeCell ref="H379:H384"/>
    <mergeCell ref="A385:A389"/>
    <mergeCell ref="B385:B389"/>
    <mergeCell ref="C385:C389"/>
    <mergeCell ref="E385:E389"/>
    <mergeCell ref="F385:F389"/>
    <mergeCell ref="G385:G389"/>
    <mergeCell ref="H385:H389"/>
    <mergeCell ref="A390:A393"/>
    <mergeCell ref="B390:B393"/>
    <mergeCell ref="C390:C393"/>
    <mergeCell ref="E390:E393"/>
    <mergeCell ref="F390:F393"/>
    <mergeCell ref="G390:G393"/>
    <mergeCell ref="H390:H393"/>
    <mergeCell ref="A394:A396"/>
    <mergeCell ref="B394:B396"/>
    <mergeCell ref="C394:C396"/>
    <mergeCell ref="E394:E396"/>
    <mergeCell ref="F394:F396"/>
    <mergeCell ref="G394:G396"/>
    <mergeCell ref="H394:H396"/>
    <mergeCell ref="A397:A398"/>
    <mergeCell ref="B397:B398"/>
    <mergeCell ref="C397:C398"/>
    <mergeCell ref="E397:E398"/>
    <mergeCell ref="F397:F398"/>
    <mergeCell ref="G397:G398"/>
    <mergeCell ref="H397:H398"/>
    <mergeCell ref="A399:A403"/>
    <mergeCell ref="B399:B403"/>
    <mergeCell ref="C399:C403"/>
    <mergeCell ref="E399:E403"/>
    <mergeCell ref="F399:F403"/>
    <mergeCell ref="G399:G403"/>
    <mergeCell ref="H399:H403"/>
    <mergeCell ref="A404:A407"/>
    <mergeCell ref="B404:B407"/>
    <mergeCell ref="C404:C407"/>
    <mergeCell ref="E404:E407"/>
    <mergeCell ref="F404:F407"/>
    <mergeCell ref="G404:G407"/>
    <mergeCell ref="H404:H407"/>
    <mergeCell ref="A2:A4"/>
    <mergeCell ref="B2:B4"/>
    <mergeCell ref="C2:C4"/>
    <mergeCell ref="E2:E4"/>
    <mergeCell ref="F2:F4"/>
    <mergeCell ref="G2:G4"/>
    <mergeCell ref="H2:H4"/>
    <mergeCell ref="A5:A7"/>
    <mergeCell ref="B5:B7"/>
    <mergeCell ref="C5:C7"/>
    <mergeCell ref="E5:E7"/>
    <mergeCell ref="F5:F7"/>
    <mergeCell ref="G5:G7"/>
    <mergeCell ref="H5:H7"/>
    <mergeCell ref="A8:A12"/>
    <mergeCell ref="B8:B12"/>
    <mergeCell ref="C8:C12"/>
    <mergeCell ref="E8:E12"/>
    <mergeCell ref="F8:F12"/>
    <mergeCell ref="G8:G12"/>
    <mergeCell ref="H8:H12"/>
    <mergeCell ref="A13:A15"/>
    <mergeCell ref="B13:B15"/>
    <mergeCell ref="C13:C15"/>
    <mergeCell ref="E13:E15"/>
    <mergeCell ref="F13:F15"/>
    <mergeCell ref="G13:G15"/>
    <mergeCell ref="H13:H15"/>
    <mergeCell ref="A16:A19"/>
    <mergeCell ref="B16:B19"/>
    <mergeCell ref="C16:C19"/>
    <mergeCell ref="E16:E19"/>
    <mergeCell ref="F16:F19"/>
    <mergeCell ref="G16:G19"/>
    <mergeCell ref="H16:H19"/>
    <mergeCell ref="A20:A23"/>
    <mergeCell ref="B20:B23"/>
    <mergeCell ref="C20:C23"/>
    <mergeCell ref="E20:E23"/>
    <mergeCell ref="F20:F23"/>
    <mergeCell ref="G20:G23"/>
    <mergeCell ref="H20:H23"/>
    <mergeCell ref="A408:A410"/>
    <mergeCell ref="B408:B410"/>
    <mergeCell ref="C408:C410"/>
    <mergeCell ref="E408:E410"/>
    <mergeCell ref="F408:F410"/>
    <mergeCell ref="G408:G410"/>
    <mergeCell ref="H408:H410"/>
    <mergeCell ref="G331:G332"/>
    <mergeCell ref="H331:H332"/>
    <mergeCell ref="E328:E330"/>
    <mergeCell ref="F328:F330"/>
    <mergeCell ref="A331:A332"/>
    <mergeCell ref="B331:B332"/>
    <mergeCell ref="C331:C332"/>
    <mergeCell ref="E331:E332"/>
    <mergeCell ref="F331:F332"/>
    <mergeCell ref="A333:A334"/>
    <mergeCell ref="B333:B334"/>
    <mergeCell ref="C333:C334"/>
    <mergeCell ref="E333:E334"/>
    <mergeCell ref="F333:F334"/>
    <mergeCell ref="G333:G334"/>
    <mergeCell ref="H333:H334"/>
    <mergeCell ref="A335:A337"/>
    <mergeCell ref="B335:B337"/>
    <mergeCell ref="C335:C337"/>
    <mergeCell ref="E335:E337"/>
    <mergeCell ref="F335:F337"/>
    <mergeCell ref="G335:G337"/>
    <mergeCell ref="H335:H337"/>
    <mergeCell ref="A338:A341"/>
    <mergeCell ref="B338:B341"/>
    <mergeCell ref="C338:C341"/>
    <mergeCell ref="E338:E341"/>
    <mergeCell ref="F338:F341"/>
    <mergeCell ref="G338:G341"/>
    <mergeCell ref="H338:H341"/>
    <mergeCell ref="A342:A343"/>
    <mergeCell ref="B342:B343"/>
    <mergeCell ref="C342:C343"/>
    <mergeCell ref="E342:E343"/>
    <mergeCell ref="F342:F343"/>
    <mergeCell ref="G342:G343"/>
    <mergeCell ref="H342:H343"/>
    <mergeCell ref="A344:A345"/>
    <mergeCell ref="B344:B345"/>
    <mergeCell ref="C344:C345"/>
    <mergeCell ref="E344:E345"/>
    <mergeCell ref="F344:F345"/>
    <mergeCell ref="G344:G345"/>
    <mergeCell ref="H344:H345"/>
    <mergeCell ref="A346:A351"/>
    <mergeCell ref="B346:B351"/>
    <mergeCell ref="C346:C351"/>
    <mergeCell ref="E346:E351"/>
    <mergeCell ref="F346:F351"/>
    <mergeCell ref="G346:G351"/>
    <mergeCell ref="H346:H351"/>
    <mergeCell ref="A352:A356"/>
    <mergeCell ref="B352:B356"/>
    <mergeCell ref="C352:C356"/>
    <mergeCell ref="E352:E356"/>
    <mergeCell ref="F352:F356"/>
    <mergeCell ref="G352:G356"/>
    <mergeCell ref="H352:H356"/>
    <mergeCell ref="A357:A359"/>
    <mergeCell ref="B357:B359"/>
    <mergeCell ref="C357:C359"/>
    <mergeCell ref="E357:E359"/>
    <mergeCell ref="F357:F359"/>
    <mergeCell ref="G357:G359"/>
    <mergeCell ref="H357:H359"/>
    <mergeCell ref="A360:A363"/>
    <mergeCell ref="B360:B363"/>
    <mergeCell ref="C360:C363"/>
    <mergeCell ref="E360:E363"/>
    <mergeCell ref="F360:F363"/>
    <mergeCell ref="G360:G363"/>
    <mergeCell ref="H360:H363"/>
    <mergeCell ref="A364:A368"/>
    <mergeCell ref="B364:B368"/>
    <mergeCell ref="C364:C368"/>
    <mergeCell ref="E364:E368"/>
    <mergeCell ref="F364:F368"/>
    <mergeCell ref="G364:G368"/>
    <mergeCell ref="H364:H368"/>
    <mergeCell ref="A369:A370"/>
    <mergeCell ref="B369:B370"/>
    <mergeCell ref="C369:C370"/>
    <mergeCell ref="E369:E370"/>
    <mergeCell ref="F369:F370"/>
    <mergeCell ref="G369:G370"/>
    <mergeCell ref="H369:H370"/>
    <mergeCell ref="A371:A374"/>
    <mergeCell ref="B371:B374"/>
    <mergeCell ref="C371:C374"/>
    <mergeCell ref="E371:E374"/>
    <mergeCell ref="F371:F374"/>
    <mergeCell ref="G371:G374"/>
    <mergeCell ref="H371:H374"/>
  </mergeCells>
  <hyperlinks>
    <hyperlink r:id="rId1" ref="E2"/>
    <hyperlink r:id="rId2" ref="G2"/>
    <hyperlink r:id="rId3" ref="E5"/>
    <hyperlink r:id="rId4" ref="G5"/>
    <hyperlink r:id="rId5" ref="E8"/>
    <hyperlink r:id="rId6" ref="G8"/>
    <hyperlink r:id="rId7" ref="E13"/>
    <hyperlink r:id="rId8" ref="E16"/>
    <hyperlink r:id="rId9" ref="E20"/>
    <hyperlink r:id="rId10" ref="G20"/>
    <hyperlink r:id="rId11" ref="E24"/>
    <hyperlink r:id="rId12" ref="G24"/>
    <hyperlink r:id="rId13" ref="E28"/>
    <hyperlink r:id="rId14" ref="E32"/>
    <hyperlink r:id="rId15" ref="G32"/>
    <hyperlink r:id="rId16" ref="E39"/>
    <hyperlink r:id="rId17" ref="E42"/>
    <hyperlink r:id="rId18" ref="G42"/>
    <hyperlink r:id="rId19" ref="E48"/>
    <hyperlink r:id="rId20" ref="G48"/>
    <hyperlink r:id="rId21" ref="E55"/>
    <hyperlink r:id="rId22" ref="G55"/>
    <hyperlink r:id="rId23" ref="E59"/>
    <hyperlink r:id="rId24" ref="G62"/>
    <hyperlink r:id="rId25" ref="E63"/>
    <hyperlink r:id="rId26" ref="G63"/>
    <hyperlink r:id="rId27" ref="E69"/>
    <hyperlink r:id="rId28" ref="G69"/>
    <hyperlink r:id="rId29" ref="E75"/>
    <hyperlink r:id="rId30" ref="E79"/>
    <hyperlink r:id="rId31" ref="G79"/>
    <hyperlink r:id="rId32" ref="E82"/>
    <hyperlink r:id="rId33" ref="E87"/>
    <hyperlink r:id="rId34" ref="E92"/>
    <hyperlink r:id="rId35" ref="E95"/>
    <hyperlink r:id="rId36" ref="G95"/>
    <hyperlink r:id="rId37" ref="E100"/>
    <hyperlink r:id="rId38" ref="G100"/>
    <hyperlink r:id="rId39" ref="E103"/>
    <hyperlink r:id="rId40" ref="G103"/>
    <hyperlink r:id="rId41" ref="E105"/>
    <hyperlink r:id="rId42" ref="G105"/>
    <hyperlink r:id="rId43" ref="E109"/>
    <hyperlink r:id="rId44" ref="E112"/>
    <hyperlink r:id="rId45" ref="G112"/>
    <hyperlink r:id="rId46" ref="G116"/>
    <hyperlink r:id="rId47" ref="E120"/>
    <hyperlink r:id="rId48" ref="E123"/>
    <hyperlink r:id="rId49" ref="G123"/>
    <hyperlink r:id="rId50" ref="E126"/>
    <hyperlink r:id="rId51" ref="E128"/>
    <hyperlink r:id="rId52" ref="G128"/>
    <hyperlink r:id="rId53" ref="E131"/>
    <hyperlink r:id="rId54" ref="G131"/>
    <hyperlink r:id="rId55" ref="E137"/>
    <hyperlink r:id="rId56" ref="G137"/>
    <hyperlink r:id="rId57" ref="E140"/>
    <hyperlink r:id="rId58" ref="G140"/>
    <hyperlink r:id="rId59" ref="E144"/>
    <hyperlink r:id="rId60" ref="E149"/>
    <hyperlink r:id="rId61" ref="E161"/>
    <hyperlink r:id="rId62" ref="E164"/>
    <hyperlink r:id="rId63" ref="E167"/>
    <hyperlink r:id="rId64" ref="G167"/>
    <hyperlink r:id="rId65" ref="E172"/>
    <hyperlink r:id="rId66" ref="E176"/>
    <hyperlink r:id="rId67" ref="G176"/>
    <hyperlink r:id="rId68" ref="E180"/>
    <hyperlink r:id="rId69" ref="G180"/>
    <hyperlink r:id="rId70" ref="E186"/>
    <hyperlink r:id="rId71" ref="G186"/>
    <hyperlink r:id="rId72" ref="E189"/>
    <hyperlink r:id="rId73" ref="G189"/>
    <hyperlink r:id="rId74" ref="E192"/>
    <hyperlink r:id="rId75" ref="G192"/>
    <hyperlink r:id="rId76" ref="E195"/>
    <hyperlink r:id="rId77" ref="G195"/>
    <hyperlink r:id="rId78" ref="E198"/>
    <hyperlink r:id="rId79" ref="G198"/>
    <hyperlink r:id="rId80" ref="E205"/>
    <hyperlink r:id="rId81" ref="E208"/>
    <hyperlink r:id="rId82" ref="G208"/>
    <hyperlink r:id="rId83" ref="E213"/>
    <hyperlink r:id="rId84" ref="E216"/>
    <hyperlink r:id="rId85" ref="G216"/>
    <hyperlink r:id="rId86" ref="E219"/>
    <hyperlink r:id="rId87" ref="E222"/>
    <hyperlink r:id="rId88" ref="E225"/>
    <hyperlink r:id="rId89" ref="E230"/>
    <hyperlink r:id="rId90" ref="G230"/>
    <hyperlink r:id="rId91" ref="E233"/>
    <hyperlink r:id="rId92" ref="E235"/>
    <hyperlink r:id="rId93" ref="G235"/>
    <hyperlink r:id="rId94" ref="E237"/>
    <hyperlink r:id="rId95" ref="E244"/>
    <hyperlink r:id="rId96" ref="G244"/>
    <hyperlink r:id="rId97" ref="E249"/>
    <hyperlink r:id="rId98" ref="G249"/>
    <hyperlink r:id="rId99" ref="E252"/>
    <hyperlink r:id="rId100" ref="G252"/>
    <hyperlink r:id="rId101" ref="E255"/>
    <hyperlink r:id="rId102" ref="G255"/>
    <hyperlink r:id="rId103" ref="E258"/>
    <hyperlink r:id="rId104" ref="G258"/>
    <hyperlink r:id="rId105" ref="E261"/>
    <hyperlink r:id="rId106" ref="E265"/>
    <hyperlink r:id="rId107" ref="G265"/>
    <hyperlink r:id="rId108" ref="E269"/>
    <hyperlink r:id="rId109" ref="E274"/>
    <hyperlink r:id="rId110" ref="G274"/>
    <hyperlink r:id="rId111" ref="E279"/>
    <hyperlink r:id="rId112" ref="G279"/>
    <hyperlink r:id="rId113" ref="E286"/>
    <hyperlink r:id="rId114" ref="G286"/>
    <hyperlink r:id="rId115" ref="E289"/>
    <hyperlink r:id="rId116" ref="G289"/>
    <hyperlink r:id="rId117" ref="E294"/>
    <hyperlink r:id="rId118" ref="G294"/>
    <hyperlink r:id="rId119" ref="E298"/>
    <hyperlink r:id="rId120" ref="G298"/>
    <hyperlink r:id="rId121" ref="E304"/>
    <hyperlink r:id="rId122" ref="E307"/>
    <hyperlink r:id="rId123" ref="E310"/>
    <hyperlink r:id="rId124" ref="G310"/>
    <hyperlink r:id="rId125" ref="E316"/>
    <hyperlink r:id="rId126" ref="E328"/>
    <hyperlink r:id="rId127" ref="E331"/>
    <hyperlink r:id="rId128" ref="G331"/>
    <hyperlink r:id="rId129" ref="E333"/>
    <hyperlink r:id="rId130" ref="E335"/>
    <hyperlink r:id="rId131" ref="G335"/>
    <hyperlink r:id="rId132" ref="E338"/>
    <hyperlink r:id="rId133" ref="E342"/>
    <hyperlink r:id="rId134" ref="E344"/>
    <hyperlink r:id="rId135" ref="E346"/>
    <hyperlink r:id="rId136" ref="G346"/>
    <hyperlink r:id="rId137" ref="E352"/>
    <hyperlink r:id="rId138" ref="G352"/>
    <hyperlink r:id="rId139" ref="E357"/>
    <hyperlink r:id="rId140" ref="G357"/>
    <hyperlink r:id="rId141" ref="E360"/>
    <hyperlink r:id="rId142" ref="G360"/>
    <hyperlink r:id="rId143" ref="E364"/>
    <hyperlink r:id="rId144" ref="E369"/>
    <hyperlink r:id="rId145" ref="G369"/>
    <hyperlink r:id="rId146" ref="E371"/>
    <hyperlink r:id="rId147" ref="E375"/>
    <hyperlink r:id="rId148" ref="G375"/>
    <hyperlink r:id="rId149" ref="E379"/>
    <hyperlink r:id="rId150" ref="G379"/>
    <hyperlink r:id="rId151" ref="E385"/>
    <hyperlink r:id="rId152" ref="G385"/>
    <hyperlink r:id="rId153" ref="E390"/>
    <hyperlink r:id="rId154" ref="E394"/>
    <hyperlink r:id="rId155" ref="G394"/>
    <hyperlink r:id="rId156" ref="E397"/>
    <hyperlink r:id="rId157" ref="E399"/>
    <hyperlink r:id="rId158" ref="G399"/>
    <hyperlink r:id="rId159" ref="E404"/>
    <hyperlink r:id="rId160" ref="G404"/>
    <hyperlink r:id="rId161" ref="E408"/>
    <hyperlink r:id="rId162" ref="G408"/>
  </hyperlinks>
  <printOptions horizontalCentered="1"/>
  <pageMargins bottom="0.7480314960629921" footer="0.0" header="0.0" left="0.7086614173228347" right="0.7086614173228347" top="0.7480314960629921"/>
  <pageSetup paperSize="9" scale="40" orientation="portrait"/>
  <drawing r:id="rId1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22.63"/>
    <col customWidth="1" min="5" max="5" width="12.5"/>
    <col customWidth="1" min="6" max="6" width="22.5"/>
  </cols>
  <sheetData>
    <row r="1">
      <c r="A1" s="135" t="s">
        <v>543</v>
      </c>
      <c r="B1" s="135" t="s">
        <v>544</v>
      </c>
      <c r="C1" s="135" t="s">
        <v>545</v>
      </c>
      <c r="E1" s="135" t="s">
        <v>546</v>
      </c>
      <c r="F1" s="135" t="s">
        <v>544</v>
      </c>
      <c r="G1" s="135" t="s">
        <v>545</v>
      </c>
    </row>
    <row r="2">
      <c r="A2" s="136" t="s">
        <v>9</v>
      </c>
      <c r="B2" s="137">
        <f>COUNTIF('Docentes ativos'!$B$2:$B$905, "RDE")</f>
        <v>78</v>
      </c>
      <c r="C2" s="138">
        <f t="shared" ref="C2:C6" si="1">B2/$B$6</f>
        <v>0.7722772277</v>
      </c>
      <c r="E2" s="139" t="s">
        <v>547</v>
      </c>
      <c r="F2" s="137">
        <f>COUNTIF('Docentes ativos'!$F$2:$F$905, "Graduado")</f>
        <v>1</v>
      </c>
      <c r="G2" s="140">
        <f t="shared" ref="G2:G6" si="2">F2/$F$6</f>
        <v>0.009900990099</v>
      </c>
    </row>
    <row r="3">
      <c r="A3" s="136" t="s">
        <v>18</v>
      </c>
      <c r="B3" s="137">
        <f>COUNTIF('Docentes ativos'!$B$2:$B$905, "40H")</f>
        <v>9</v>
      </c>
      <c r="C3" s="138">
        <f t="shared" si="1"/>
        <v>0.08910891089</v>
      </c>
      <c r="E3" s="141" t="s">
        <v>168</v>
      </c>
      <c r="F3" s="137">
        <f>COUNTIF('Docentes ativos'!$F$2:$F$905, "Especialista")</f>
        <v>7</v>
      </c>
      <c r="G3" s="140">
        <f t="shared" si="2"/>
        <v>0.06930693069</v>
      </c>
    </row>
    <row r="4">
      <c r="A4" s="136" t="s">
        <v>25</v>
      </c>
      <c r="B4" s="137">
        <f>COUNTIF('Docentes ativos'!$B$2:$B$905, "20H")</f>
        <v>3</v>
      </c>
      <c r="C4" s="138">
        <f t="shared" si="1"/>
        <v>0.0297029703</v>
      </c>
      <c r="E4" s="139" t="s">
        <v>548</v>
      </c>
      <c r="F4" s="137">
        <f>COUNTIF('Docentes ativos'!$F$2:$F$905, "Mestre")</f>
        <v>35</v>
      </c>
      <c r="G4" s="140">
        <f t="shared" si="2"/>
        <v>0.3465346535</v>
      </c>
    </row>
    <row r="5">
      <c r="A5" s="136" t="s">
        <v>137</v>
      </c>
      <c r="B5" s="137">
        <f>COUNTIF('Docentes ativos'!$B$2:$B$905, "40h - Substituto")</f>
        <v>11</v>
      </c>
      <c r="C5" s="138">
        <f t="shared" si="1"/>
        <v>0.1089108911</v>
      </c>
      <c r="E5" s="139" t="s">
        <v>549</v>
      </c>
      <c r="F5" s="137">
        <f>COUNTIF('Docentes ativos'!$F$2:$F$905, "Doutor")+COUNTIF('Docentes ativos'!$F$2:$F$905, "Doutora")</f>
        <v>58</v>
      </c>
      <c r="G5" s="140">
        <f t="shared" si="2"/>
        <v>0.5742574257</v>
      </c>
    </row>
    <row r="6">
      <c r="A6" s="142" t="s">
        <v>550</v>
      </c>
      <c r="B6" s="143">
        <f>SUM(B2:B5)</f>
        <v>101</v>
      </c>
      <c r="C6" s="144">
        <f t="shared" si="1"/>
        <v>1</v>
      </c>
      <c r="E6" s="145" t="s">
        <v>550</v>
      </c>
      <c r="F6" s="146">
        <f>SUM(F2:F5)</f>
        <v>101</v>
      </c>
      <c r="G6" s="147">
        <f t="shared" si="2"/>
        <v>1</v>
      </c>
    </row>
    <row r="7">
      <c r="E7" s="148"/>
      <c r="F7" s="149"/>
      <c r="G7" s="150"/>
    </row>
    <row r="9">
      <c r="E9" s="151"/>
      <c r="F9" s="151"/>
      <c r="G9" s="151"/>
    </row>
  </sheetData>
  <drawing r:id="rId1"/>
</worksheet>
</file>